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ojh\PycharmProjects\OpenVision\Jefferson_Lowenthal\1100\"/>
    </mc:Choice>
  </mc:AlternateContent>
  <xr:revisionPtr revIDLastSave="0" documentId="13_ncr:1_{C8A7684E-987F-4ABE-9894-8F2C285059F3}" xr6:coauthVersionLast="47" xr6:coauthVersionMax="47" xr10:uidLastSave="{00000000-0000-0000-0000-000000000000}"/>
  <bookViews>
    <workbookView xWindow="-120" yWindow="-120" windowWidth="29040" windowHeight="15840" xr2:uid="{830C80C2-7511-4DA8-9BC0-1AB38A03576E}"/>
  </bookViews>
  <sheets>
    <sheet name="Sheet1" sheetId="1" r:id="rId1"/>
    <sheet name="data" sheetId="2" state="hidden" r:id="rId2"/>
  </sheets>
  <definedNames>
    <definedName name="EBL">Sheet1!$B$6:$C$6</definedName>
    <definedName name="EBL_text">Sheet1!$B$6:$C$6</definedName>
    <definedName name="EBR">Sheet1!$B$6:$C$6</definedName>
    <definedName name="EBR_text">Sheet1!$B$6:$C$6</definedName>
    <definedName name="EBT">Sheet1!$B$6:$C$6</definedName>
    <definedName name="EBT_text">Sheet1!$B$6:$C$6</definedName>
    <definedName name="EBTOTAL_IN">Sheet1!$B$6:$C$6</definedName>
    <definedName name="EBTOTAL_OUT">Sheet1!$B$6:$C$6</definedName>
    <definedName name="EBU">Sheet1!$B$6:$C$6</definedName>
    <definedName name="EBU_text">Sheet1!$B$6:$C$6</definedName>
    <definedName name="NBL">Sheet1!$B$6:$C$6</definedName>
    <definedName name="NBL_text">Sheet1!$B$6:$C$6</definedName>
    <definedName name="NBR">Sheet1!$B$6:$C$6</definedName>
    <definedName name="NBR_text">Sheet1!$B$6:$C$6</definedName>
    <definedName name="NBT">Sheet1!$B$6:$C$6</definedName>
    <definedName name="NBT_text">Sheet1!$B$6:$C$6</definedName>
    <definedName name="NBTOTAL_IN">Sheet1!$B$6:$C$6</definedName>
    <definedName name="NBTOTAL_OUT">Sheet1!$B$6:$C$6</definedName>
    <definedName name="NBU">Sheet1!$B$6:$C$6</definedName>
    <definedName name="NBU_text">Sheet1!$B$6:$C$6</definedName>
    <definedName name="SBL">Sheet1!$B$6:$C$6</definedName>
    <definedName name="SBL_text">Sheet1!$B$6:$C$6</definedName>
    <definedName name="SBR">Sheet1!$B$6:$C$6</definedName>
    <definedName name="SBR_text">Sheet1!$B$6:$C$6</definedName>
    <definedName name="SBT">Sheet1!$B$6:$C$6</definedName>
    <definedName name="SBT_text">Sheet1!$B$6:$C$6</definedName>
    <definedName name="SBTOTAL_IN">Sheet1!$B$6:$C$6</definedName>
    <definedName name="SBTOTAL_OUT">Sheet1!$B$6:$C$6</definedName>
    <definedName name="SBU">Sheet1!$B$6:$C$6</definedName>
    <definedName name="SBU_text">Sheet1!$B$6:$C$6</definedName>
    <definedName name="Start_Time">data!$A$2:$A$31</definedName>
    <definedName name="WBL">Sheet1!$B$6:$C$6</definedName>
    <definedName name="WBR">Sheet1!$B$6:$C$6</definedName>
    <definedName name="WBT">Sheet1!$B$6:$C$6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0" i="2" l="1"/>
  <c r="S20" i="2" s="1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S44" i="2" s="1"/>
  <c r="R46" i="2"/>
  <c r="R47" i="2"/>
  <c r="R48" i="2"/>
  <c r="R49" i="2"/>
  <c r="R50" i="2"/>
  <c r="R51" i="2"/>
  <c r="R52" i="2"/>
  <c r="R53" i="2"/>
  <c r="R54" i="2"/>
  <c r="R55" i="2"/>
  <c r="R56" i="2"/>
  <c r="R57" i="2"/>
  <c r="S56" i="2" s="1"/>
  <c r="R58" i="2"/>
  <c r="R59" i="2"/>
  <c r="R60" i="2"/>
  <c r="R61" i="2"/>
  <c r="R62" i="2"/>
  <c r="R63" i="2"/>
  <c r="R64" i="2"/>
  <c r="R65" i="2"/>
  <c r="R66" i="2"/>
  <c r="R67" i="2"/>
  <c r="R68" i="2"/>
  <c r="R69" i="2"/>
  <c r="S68" i="2" s="1"/>
  <c r="R70" i="2"/>
  <c r="R71" i="2"/>
  <c r="R72" i="2"/>
  <c r="R73" i="2"/>
  <c r="R74" i="2"/>
  <c r="R75" i="2"/>
  <c r="R76" i="2"/>
  <c r="R77" i="2"/>
  <c r="R78" i="2"/>
  <c r="R79" i="2"/>
  <c r="S76" i="2" s="1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S99" i="2" s="1"/>
  <c r="S100" i="2"/>
  <c r="R101" i="2"/>
  <c r="R102" i="2"/>
  <c r="R103" i="2"/>
  <c r="S101" i="2" s="1"/>
  <c r="R104" i="2"/>
  <c r="R105" i="2"/>
  <c r="S104" i="2" s="1"/>
  <c r="R106" i="2"/>
  <c r="S105" i="2" s="1"/>
  <c r="S106" i="2"/>
  <c r="R107" i="2"/>
  <c r="R108" i="2"/>
  <c r="R109" i="2"/>
  <c r="S107" i="2" s="1"/>
  <c r="R110" i="2"/>
  <c r="R111" i="2"/>
  <c r="S110" i="2" s="1"/>
  <c r="R112" i="2"/>
  <c r="S111" i="2" s="1"/>
  <c r="S112" i="2"/>
  <c r="R113" i="2"/>
  <c r="R114" i="2"/>
  <c r="R115" i="2"/>
  <c r="S113" i="2" s="1"/>
  <c r="R116" i="2"/>
  <c r="R117" i="2"/>
  <c r="S116" i="2" s="1"/>
  <c r="R118" i="2"/>
  <c r="S117" i="2" s="1"/>
  <c r="S118" i="2"/>
  <c r="R119" i="2"/>
  <c r="R120" i="2"/>
  <c r="R121" i="2"/>
  <c r="S119" i="2" s="1"/>
  <c r="R122" i="2"/>
  <c r="R123" i="2"/>
  <c r="S122" i="2" s="1"/>
  <c r="R124" i="2"/>
  <c r="S123" i="2" s="1"/>
  <c r="S124" i="2"/>
  <c r="R125" i="2"/>
  <c r="R126" i="2"/>
  <c r="R127" i="2"/>
  <c r="S125" i="2" s="1"/>
  <c r="R128" i="2"/>
  <c r="R129" i="2"/>
  <c r="S128" i="2" s="1"/>
  <c r="S129" i="2"/>
  <c r="R130" i="2"/>
  <c r="S130" i="2"/>
  <c r="R131" i="2"/>
  <c r="S131" i="2"/>
  <c r="R2" i="2"/>
  <c r="R11" i="2"/>
  <c r="R12" i="2"/>
  <c r="R13" i="2"/>
  <c r="R14" i="2"/>
  <c r="R15" i="2"/>
  <c r="R16" i="2"/>
  <c r="R17" i="2"/>
  <c r="R18" i="2"/>
  <c r="R19" i="2"/>
  <c r="R21" i="2"/>
  <c r="R22" i="2"/>
  <c r="R3" i="2"/>
  <c r="R4" i="2"/>
  <c r="R5" i="2"/>
  <c r="R6" i="2"/>
  <c r="R7" i="2"/>
  <c r="R8" i="2"/>
  <c r="R9" i="2"/>
  <c r="R10" i="2"/>
  <c r="B10" i="1"/>
  <c r="B11" i="1" s="1"/>
  <c r="B12" i="1" s="1"/>
  <c r="B13" i="1" s="1"/>
  <c r="M13" i="1" s="1"/>
  <c r="S32" i="2" l="1"/>
  <c r="S88" i="2"/>
  <c r="S95" i="2"/>
  <c r="S71" i="2"/>
  <c r="S59" i="2"/>
  <c r="S47" i="2"/>
  <c r="S35" i="2"/>
  <c r="S23" i="2"/>
  <c r="S82" i="2"/>
  <c r="S94" i="2"/>
  <c r="S87" i="2"/>
  <c r="S75" i="2"/>
  <c r="S39" i="2"/>
  <c r="S27" i="2"/>
  <c r="S83" i="2"/>
  <c r="S74" i="2"/>
  <c r="S62" i="2"/>
  <c r="S50" i="2"/>
  <c r="S38" i="2"/>
  <c r="S26" i="2"/>
  <c r="S53" i="2"/>
  <c r="S51" i="2"/>
  <c r="S98" i="2"/>
  <c r="S41" i="2"/>
  <c r="S92" i="2"/>
  <c r="S65" i="2"/>
  <c r="S63" i="2"/>
  <c r="S93" i="2"/>
  <c r="S81" i="2"/>
  <c r="S77" i="2"/>
  <c r="S29" i="2"/>
  <c r="S86" i="2"/>
  <c r="S89" i="2"/>
  <c r="S80" i="2"/>
  <c r="S69" i="2"/>
  <c r="S57" i="2"/>
  <c r="S45" i="2"/>
  <c r="S34" i="2"/>
  <c r="S2" i="2"/>
  <c r="S70" i="2"/>
  <c r="S64" i="2"/>
  <c r="S58" i="2"/>
  <c r="S52" i="2"/>
  <c r="S46" i="2"/>
  <c r="S40" i="2"/>
  <c r="S28" i="2"/>
  <c r="S127" i="2"/>
  <c r="S121" i="2"/>
  <c r="S115" i="2"/>
  <c r="S109" i="2"/>
  <c r="S103" i="2"/>
  <c r="S97" i="2"/>
  <c r="S91" i="2"/>
  <c r="S85" i="2"/>
  <c r="S79" i="2"/>
  <c r="S73" i="2"/>
  <c r="S67" i="2"/>
  <c r="S61" i="2"/>
  <c r="S55" i="2"/>
  <c r="S49" i="2"/>
  <c r="S43" i="2"/>
  <c r="S37" i="2"/>
  <c r="S31" i="2"/>
  <c r="S25" i="2"/>
  <c r="S33" i="2"/>
  <c r="S126" i="2"/>
  <c r="S120" i="2"/>
  <c r="S114" i="2"/>
  <c r="S108" i="2"/>
  <c r="S102" i="2"/>
  <c r="S96" i="2"/>
  <c r="S90" i="2"/>
  <c r="S84" i="2"/>
  <c r="S78" i="2"/>
  <c r="S72" i="2"/>
  <c r="S66" i="2"/>
  <c r="S60" i="2"/>
  <c r="S54" i="2"/>
  <c r="S48" i="2"/>
  <c r="S42" i="2"/>
  <c r="S36" i="2"/>
  <c r="S30" i="2"/>
  <c r="S24" i="2"/>
  <c r="S22" i="2"/>
  <c r="C11" i="1"/>
  <c r="C10" i="1"/>
  <c r="C13" i="1"/>
  <c r="D13" i="1"/>
  <c r="D12" i="1"/>
  <c r="E10" i="1"/>
  <c r="D10" i="1"/>
  <c r="D11" i="1"/>
  <c r="F10" i="1"/>
  <c r="C12" i="1"/>
  <c r="S15" i="2"/>
  <c r="S21" i="2"/>
  <c r="H10" i="1"/>
  <c r="N10" i="1"/>
  <c r="U10" i="1"/>
  <c r="K10" i="1"/>
  <c r="V13" i="1"/>
  <c r="T13" i="1"/>
  <c r="O10" i="1"/>
  <c r="K12" i="1"/>
  <c r="P10" i="1"/>
  <c r="O11" i="1"/>
  <c r="E11" i="1"/>
  <c r="H11" i="1"/>
  <c r="K11" i="1"/>
  <c r="Q10" i="1"/>
  <c r="N11" i="1"/>
  <c r="S13" i="1"/>
  <c r="Q11" i="1"/>
  <c r="H13" i="1"/>
  <c r="E12" i="1"/>
  <c r="V12" i="1"/>
  <c r="F13" i="1"/>
  <c r="I13" i="1"/>
  <c r="L13" i="1"/>
  <c r="P13" i="1"/>
  <c r="R13" i="1"/>
  <c r="U12" i="1"/>
  <c r="P11" i="1"/>
  <c r="R10" i="1"/>
  <c r="F12" i="1"/>
  <c r="I12" i="1"/>
  <c r="L12" i="1"/>
  <c r="O13" i="1"/>
  <c r="R12" i="1"/>
  <c r="T12" i="1"/>
  <c r="K13" i="1"/>
  <c r="H12" i="1"/>
  <c r="Q13" i="1"/>
  <c r="F11" i="1"/>
  <c r="I11" i="1"/>
  <c r="L11" i="1"/>
  <c r="N13" i="1"/>
  <c r="R11" i="1"/>
  <c r="S12" i="1"/>
  <c r="E13" i="1"/>
  <c r="U13" i="1"/>
  <c r="I10" i="1"/>
  <c r="G10" i="1"/>
  <c r="J10" i="1"/>
  <c r="M10" i="1"/>
  <c r="Q12" i="1"/>
  <c r="S10" i="1"/>
  <c r="V11" i="1"/>
  <c r="L10" i="1"/>
  <c r="G13" i="1"/>
  <c r="J13" i="1"/>
  <c r="P12" i="1"/>
  <c r="T10" i="1"/>
  <c r="U11" i="1"/>
  <c r="G12" i="1"/>
  <c r="J12" i="1"/>
  <c r="M12" i="1"/>
  <c r="O12" i="1"/>
  <c r="T11" i="1"/>
  <c r="G11" i="1"/>
  <c r="J11" i="1"/>
  <c r="M11" i="1"/>
  <c r="N12" i="1"/>
  <c r="V10" i="1"/>
  <c r="S11" i="1"/>
  <c r="S16" i="2"/>
  <c r="S19" i="2"/>
  <c r="S14" i="2"/>
  <c r="S13" i="2"/>
  <c r="S18" i="2"/>
  <c r="S17" i="2"/>
  <c r="S12" i="2"/>
  <c r="S11" i="2"/>
  <c r="S10" i="2"/>
  <c r="S9" i="2"/>
  <c r="S7" i="2"/>
  <c r="S5" i="2"/>
  <c r="S4" i="2"/>
  <c r="S3" i="2"/>
  <c r="S6" i="2"/>
  <c r="S8" i="2"/>
  <c r="C14" i="1" l="1"/>
  <c r="C15" i="1" s="1"/>
  <c r="B5" i="1"/>
  <c r="J14" i="1"/>
  <c r="J15" i="1" s="1"/>
  <c r="M14" i="1"/>
  <c r="M15" i="1" s="1"/>
  <c r="Q14" i="1"/>
  <c r="Q15" i="1" s="1"/>
  <c r="O14" i="1"/>
  <c r="O15" i="1" s="1"/>
  <c r="F14" i="1"/>
  <c r="F15" i="1" s="1"/>
  <c r="U14" i="1"/>
  <c r="U15" i="1" s="1"/>
  <c r="S14" i="1"/>
  <c r="E14" i="1"/>
  <c r="E15" i="1" s="1"/>
  <c r="V14" i="1"/>
  <c r="V15" i="1" s="1"/>
  <c r="H14" i="1"/>
  <c r="H15" i="1" s="1"/>
  <c r="L14" i="1"/>
  <c r="L15" i="1" s="1"/>
  <c r="N14" i="1"/>
  <c r="N15" i="1" s="1"/>
  <c r="K14" i="1"/>
  <c r="K15" i="1" s="1"/>
  <c r="I14" i="1"/>
  <c r="I15" i="1" s="1"/>
  <c r="D14" i="1"/>
  <c r="D15" i="1" s="1"/>
  <c r="R14" i="1"/>
  <c r="T14" i="1"/>
  <c r="G14" i="1"/>
  <c r="G15" i="1" s="1"/>
  <c r="P14" i="1"/>
  <c r="P15" i="1" s="1"/>
  <c r="S15" i="1" l="1"/>
  <c r="T15" i="1"/>
  <c r="R15" i="1"/>
</calcChain>
</file>

<file path=xl/sharedStrings.xml><?xml version="1.0" encoding="utf-8"?>
<sst xmlns="http://schemas.openxmlformats.org/spreadsheetml/2006/main" count="56" uniqueCount="40">
  <si>
    <t>Start Time</t>
  </si>
  <si>
    <t>Right</t>
  </si>
  <si>
    <t>Thru</t>
  </si>
  <si>
    <t>Left</t>
  </si>
  <si>
    <t>U</t>
  </si>
  <si>
    <t>Peds</t>
  </si>
  <si>
    <t>Northbound</t>
  </si>
  <si>
    <t>Southbound</t>
  </si>
  <si>
    <t>Eastbound</t>
  </si>
  <si>
    <t>Westbound</t>
  </si>
  <si>
    <t>Total</t>
  </si>
  <si>
    <t>N</t>
  </si>
  <si>
    <t>Project ID:</t>
  </si>
  <si>
    <t>Date:</t>
  </si>
  <si>
    <t>Latitude:</t>
  </si>
  <si>
    <t>Longitude:</t>
  </si>
  <si>
    <t>NBR</t>
  </si>
  <si>
    <t>NBT</t>
  </si>
  <si>
    <t>NBL</t>
  </si>
  <si>
    <t>NBU</t>
  </si>
  <si>
    <t>SBR</t>
  </si>
  <si>
    <t>SBT</t>
  </si>
  <si>
    <t>SBL</t>
  </si>
  <si>
    <t>SBU</t>
  </si>
  <si>
    <t>EBR</t>
  </si>
  <si>
    <t>EBT</t>
  </si>
  <si>
    <t>RBL</t>
  </si>
  <si>
    <t>EBU</t>
  </si>
  <si>
    <t>WBR</t>
  </si>
  <si>
    <t>WBT</t>
  </si>
  <si>
    <t>WBL</t>
  </si>
  <si>
    <t>WBU</t>
  </si>
  <si>
    <t>PHF</t>
  </si>
  <si>
    <t>Start Time:</t>
  </si>
  <si>
    <t>Peak Hour</t>
  </si>
  <si>
    <t>Peak Hour:</t>
  </si>
  <si>
    <t>NBPed</t>
  </si>
  <si>
    <t>SBPed</t>
  </si>
  <si>
    <t>EBPed</t>
  </si>
  <si>
    <t>WBPed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</si>
</sst>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468EAE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rgb="FF90A84C"/>
      <name val="Calibri"/>
      <family val="2"/>
      <scheme val="minor"/>
    </font>
    <font>
      <b/>
      <sz val="14"/>
      <color rgb="FF90A84C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b/>
      <sz val="14"/>
      <color rgb="FF468EAE"/>
      <name val="Calibri"/>
      <family val="2"/>
      <scheme val="minor"/>
    </font>
    <font>
      <b/>
      <sz val="12"/>
      <color rgb="FFB04472"/>
      <name val="Calibri"/>
      <family val="2"/>
      <scheme val="minor"/>
    </font>
    <font>
      <b/>
      <sz val="14"/>
      <color rgb="FFB0447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468EAE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0A84C"/>
        <bgColor indexed="64"/>
      </patternFill>
    </fill>
    <fill>
      <patternFill patternType="solid">
        <fgColor rgb="FFB0447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1" xfId="0" applyNumberFormat="1" applyBorder="1"/>
    <xf numFmtId="164" fontId="0" fillId="0" borderId="2" xfId="0" applyNumberFormat="1" applyBorder="1"/>
    <xf numFmtId="0" fontId="4" fillId="0" borderId="0" xfId="0" applyFont="1" applyAlignment="1">
      <alignment horizontal="center"/>
    </xf>
    <xf numFmtId="0" fontId="3" fillId="0" borderId="0" xfId="0" applyFont="1" applyAlignment="1">
      <alignment vertical="center" textRotation="90"/>
    </xf>
    <xf numFmtId="0" fontId="1" fillId="0" borderId="0" xfId="0" applyFont="1"/>
    <xf numFmtId="0" fontId="2" fillId="0" borderId="0" xfId="0" applyFont="1" applyAlignment="1">
      <alignment vertical="center" textRotation="90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" fillId="0" borderId="6" xfId="0" applyFont="1" applyBorder="1" applyAlignment="1">
      <alignment horizontal="right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right"/>
    </xf>
    <xf numFmtId="0" fontId="5" fillId="0" borderId="0" xfId="0" applyFont="1" applyAlignment="1">
      <alignment vertical="center" textRotation="90"/>
    </xf>
    <xf numFmtId="0" fontId="6" fillId="0" borderId="0" xfId="0" applyFont="1" applyAlignment="1">
      <alignment vertical="center" textRotation="90"/>
    </xf>
    <xf numFmtId="0" fontId="12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0" xfId="0" applyFont="1" applyFill="1"/>
    <xf numFmtId="0" fontId="4" fillId="0" borderId="4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1" fillId="0" borderId="0" xfId="0" applyFont="1"/>
    <xf numFmtId="0" fontId="0" fillId="2" borderId="0" xfId="0" applyFill="1" applyProtection="1">
      <protection locked="0"/>
    </xf>
    <xf numFmtId="14" fontId="0" fillId="2" borderId="0" xfId="0" applyNumberFormat="1" applyFill="1" applyProtection="1">
      <protection locked="0"/>
    </xf>
    <xf numFmtId="0" fontId="6" fillId="0" borderId="0" xfId="0" applyFont="1" applyAlignment="1">
      <alignment horizontal="center"/>
    </xf>
    <xf numFmtId="2" fontId="0" fillId="0" borderId="0" xfId="0" applyNumberFormat="1"/>
    <xf numFmtId="1" fontId="0" fillId="0" borderId="0" xfId="0" applyNumberFormat="1"/>
    <xf numFmtId="2" fontId="1" fillId="0" borderId="0" xfId="0" applyNumberFormat="1" applyFont="1"/>
    <xf numFmtId="1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64" fontId="0" fillId="2" borderId="0" xfId="0" applyNumberFormat="1" applyFill="1" applyAlignment="1" applyProtection="1">
      <alignment horizontal="center"/>
      <protection locked="0"/>
    </xf>
    <xf numFmtId="0" fontId="15" fillId="5" borderId="4" xfId="0" applyFont="1" applyFill="1" applyBorder="1" applyAlignment="1">
      <alignment horizontal="center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4" borderId="4" xfId="0" applyFont="1" applyFill="1" applyBorder="1" applyAlignment="1">
      <alignment horizontal="center"/>
    </xf>
    <xf numFmtId="0" fontId="15" fillId="6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0A84C"/>
      <color rgb="FFB04472"/>
      <color rgb="FF468E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214312</xdr:colOff>
      <xdr:row>20</xdr:row>
      <xdr:rowOff>228600</xdr:rowOff>
    </xdr:from>
    <xdr:to>
      <xdr:col>20</xdr:col>
      <xdr:colOff>214312</xdr:colOff>
      <xdr:row>25</xdr:row>
      <xdr:rowOff>133350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V="1">
          <a:off x="8910637" y="4057650"/>
          <a:ext cx="0" cy="952500"/>
        </a:xfrm>
        <a:prstGeom prst="straightConnector1">
          <a:avLst/>
        </a:prstGeom>
        <a:ln w="4762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54</xdr:row>
      <xdr:rowOff>133350</xdr:rowOff>
    </xdr:from>
    <xdr:to>
      <xdr:col>15</xdr:col>
      <xdr:colOff>371475</xdr:colOff>
      <xdr:row>64</xdr:row>
      <xdr:rowOff>180975</xdr:rowOff>
    </xdr:to>
    <xdr:sp macro="" textlink="">
      <xdr:nvSpPr>
        <xdr:cNvPr id="1227" name="NBR">
          <a:extLst>
            <a:ext uri="{FF2B5EF4-FFF2-40B4-BE49-F238E27FC236}">
              <a16:creationId xmlns:a16="http://schemas.microsoft.com/office/drawing/2014/main" id="{A20C608C-5C34-4662-04EC-4833B3F484B5}"/>
            </a:ext>
          </a:extLst>
        </xdr:cNvPr>
        <xdr:cNvSpPr/>
      </xdr:nvSpPr>
      <xdr:spPr>
        <a:xfrm>
          <a:off x="5905500" y="10668000"/>
          <a:ext cx="1162050" cy="1952625"/>
        </a:xfrm>
        <a:prstGeom prst="bentArrow">
          <a:avLst/>
        </a:prstGeom>
        <a:solidFill>
          <a:srgbClr val="468EAE">
            <a:alpha val="60000"/>
          </a:srgbClr>
        </a:solidFill>
        <a:ln w="12700" cap="flat" cmpd="sng" algn="ctr">
          <a:solidFill>
            <a:srgbClr val="468EAE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58</xdr:row>
      <xdr:rowOff>53975</xdr:rowOff>
    </xdr:from>
    <xdr:to>
      <xdr:col>13</xdr:col>
      <xdr:colOff>327025</xdr:colOff>
      <xdr:row>61</xdr:row>
      <xdr:rowOff>180975</xdr:rowOff>
    </xdr:to>
    <xdr:sp macro="" textlink="">
      <xdr:nvSpPr>
        <xdr:cNvPr id="1228" name="NBR_text">
          <a:extLst>
            <a:ext uri="{FF2B5EF4-FFF2-40B4-BE49-F238E27FC236}">
              <a16:creationId xmlns:a16="http://schemas.microsoft.com/office/drawing/2014/main" id="{7C08169C-F671-F7EA-DB2B-65A35018B2E5}"/>
            </a:ext>
          </a:extLst>
        </xdr:cNvPr>
        <xdr:cNvSpPr txBox="1"/>
      </xdr:nvSpPr>
      <xdr:spPr>
        <a:xfrm rot="16200000">
          <a:off x="5715000" y="115411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35</a:t>
          </a:r>
        </a:p>
      </xdr:txBody>
    </xdr:sp>
    <xdr:clientData/>
  </xdr:twoCellAnchor>
  <xdr:twoCellAnchor>
    <xdr:from>
      <xdr:col>10</xdr:col>
      <xdr:colOff>320675</xdr:colOff>
      <xdr:row>53</xdr:row>
      <xdr:rowOff>120650</xdr:rowOff>
    </xdr:from>
    <xdr:to>
      <xdr:col>12</xdr:col>
      <xdr:colOff>130175</xdr:colOff>
      <xdr:row>64</xdr:row>
      <xdr:rowOff>184150</xdr:rowOff>
    </xdr:to>
    <xdr:sp macro="" textlink="">
      <xdr:nvSpPr>
        <xdr:cNvPr id="1229" name="NBT">
          <a:extLst>
            <a:ext uri="{FF2B5EF4-FFF2-40B4-BE49-F238E27FC236}">
              <a16:creationId xmlns:a16="http://schemas.microsoft.com/office/drawing/2014/main" id="{4168CBBC-E34B-7E6B-3EE3-6B98292B8A79}"/>
            </a:ext>
          </a:extLst>
        </xdr:cNvPr>
        <xdr:cNvSpPr/>
      </xdr:nvSpPr>
      <xdr:spPr>
        <a:xfrm>
          <a:off x="5016500" y="10464800"/>
          <a:ext cx="609600" cy="2159000"/>
        </a:xfrm>
        <a:prstGeom prst="upArrow">
          <a:avLst/>
        </a:prstGeom>
        <a:solidFill>
          <a:srgbClr val="468EAE">
            <a:alpha val="60000"/>
          </a:srgbClr>
        </a:solidFill>
        <a:ln w="12700" cap="flat" cmpd="sng" algn="ctr">
          <a:solidFill>
            <a:srgbClr val="468EAE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85725</xdr:colOff>
      <xdr:row>58</xdr:row>
      <xdr:rowOff>57150</xdr:rowOff>
    </xdr:from>
    <xdr:to>
      <xdr:col>12</xdr:col>
      <xdr:colOff>3175</xdr:colOff>
      <xdr:row>61</xdr:row>
      <xdr:rowOff>184150</xdr:rowOff>
    </xdr:to>
    <xdr:sp macro="" textlink="">
      <xdr:nvSpPr>
        <xdr:cNvPr id="1230" name="NBT_text">
          <a:extLst>
            <a:ext uri="{FF2B5EF4-FFF2-40B4-BE49-F238E27FC236}">
              <a16:creationId xmlns:a16="http://schemas.microsoft.com/office/drawing/2014/main" id="{E8E0CF9E-B2DB-84C3-55D0-61369F4AE6BD}"/>
            </a:ext>
          </a:extLst>
        </xdr:cNvPr>
        <xdr:cNvSpPr txBox="1"/>
      </xdr:nvSpPr>
      <xdr:spPr>
        <a:xfrm rot="16200000">
          <a:off x="4991100" y="11544300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7</xdr:col>
      <xdr:colOff>85725</xdr:colOff>
      <xdr:row>54</xdr:row>
      <xdr:rowOff>133350</xdr:rowOff>
    </xdr:from>
    <xdr:to>
      <xdr:col>10</xdr:col>
      <xdr:colOff>47625</xdr:colOff>
      <xdr:row>64</xdr:row>
      <xdr:rowOff>180975</xdr:rowOff>
    </xdr:to>
    <xdr:sp macro="" textlink="">
      <xdr:nvSpPr>
        <xdr:cNvPr id="1231" name="NBL">
          <a:extLst>
            <a:ext uri="{FF2B5EF4-FFF2-40B4-BE49-F238E27FC236}">
              <a16:creationId xmlns:a16="http://schemas.microsoft.com/office/drawing/2014/main" id="{EC265CD2-6CD6-3951-1CF7-949FDD8E819E}"/>
            </a:ext>
          </a:extLst>
        </xdr:cNvPr>
        <xdr:cNvSpPr/>
      </xdr:nvSpPr>
      <xdr:spPr>
        <a:xfrm flipH="1">
          <a:off x="3581400" y="10668000"/>
          <a:ext cx="1162050" cy="1952625"/>
        </a:xfrm>
        <a:prstGeom prst="bentArrow">
          <a:avLst/>
        </a:prstGeom>
        <a:solidFill>
          <a:srgbClr val="468EAE">
            <a:alpha val="60000"/>
          </a:srgbClr>
        </a:solidFill>
        <a:ln w="12700" cap="flat" cmpd="sng" algn="ctr">
          <a:solidFill>
            <a:srgbClr val="468EAE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136525</xdr:colOff>
      <xdr:row>58</xdr:row>
      <xdr:rowOff>53975</xdr:rowOff>
    </xdr:from>
    <xdr:to>
      <xdr:col>10</xdr:col>
      <xdr:colOff>53975</xdr:colOff>
      <xdr:row>61</xdr:row>
      <xdr:rowOff>180975</xdr:rowOff>
    </xdr:to>
    <xdr:sp macro="" textlink="">
      <xdr:nvSpPr>
        <xdr:cNvPr id="1232" name="NBL_text">
          <a:extLst>
            <a:ext uri="{FF2B5EF4-FFF2-40B4-BE49-F238E27FC236}">
              <a16:creationId xmlns:a16="http://schemas.microsoft.com/office/drawing/2014/main" id="{581B03C6-CA7E-47E4-5DD1-75179F148FD7}"/>
            </a:ext>
          </a:extLst>
        </xdr:cNvPr>
        <xdr:cNvSpPr txBox="1"/>
      </xdr:nvSpPr>
      <xdr:spPr>
        <a:xfrm rot="16200000">
          <a:off x="4241800" y="115411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5</a:t>
          </a:r>
        </a:p>
      </xdr:txBody>
    </xdr:sp>
    <xdr:clientData/>
  </xdr:twoCellAnchor>
  <xdr:twoCellAnchor>
    <xdr:from>
      <xdr:col>3</xdr:col>
      <xdr:colOff>390525</xdr:colOff>
      <xdr:row>54</xdr:row>
      <xdr:rowOff>133350</xdr:rowOff>
    </xdr:from>
    <xdr:to>
      <xdr:col>6</xdr:col>
      <xdr:colOff>352425</xdr:colOff>
      <xdr:row>64</xdr:row>
      <xdr:rowOff>180975</xdr:rowOff>
    </xdr:to>
    <xdr:sp macro="" textlink="">
      <xdr:nvSpPr>
        <xdr:cNvPr id="1233" name="NBU">
          <a:extLst>
            <a:ext uri="{FF2B5EF4-FFF2-40B4-BE49-F238E27FC236}">
              <a16:creationId xmlns:a16="http://schemas.microsoft.com/office/drawing/2014/main" id="{873A16E6-490D-9A0B-030B-05F655F9C5DE}"/>
            </a:ext>
          </a:extLst>
        </xdr:cNvPr>
        <xdr:cNvSpPr/>
      </xdr:nvSpPr>
      <xdr:spPr>
        <a:xfrm flipH="1">
          <a:off x="2286000" y="10668000"/>
          <a:ext cx="1162050" cy="1952625"/>
        </a:xfrm>
        <a:prstGeom prst="uturnArrow">
          <a:avLst/>
        </a:prstGeom>
        <a:solidFill>
          <a:srgbClr val="468EAE">
            <a:alpha val="60000"/>
          </a:srgbClr>
        </a:solidFill>
        <a:ln w="12700" cap="flat" cmpd="sng" algn="ctr">
          <a:solidFill>
            <a:srgbClr val="468EAE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41275</xdr:colOff>
      <xdr:row>58</xdr:row>
      <xdr:rowOff>53975</xdr:rowOff>
    </xdr:from>
    <xdr:to>
      <xdr:col>6</xdr:col>
      <xdr:colOff>358775</xdr:colOff>
      <xdr:row>61</xdr:row>
      <xdr:rowOff>180975</xdr:rowOff>
    </xdr:to>
    <xdr:sp macro="" textlink="">
      <xdr:nvSpPr>
        <xdr:cNvPr id="1234" name="NBU_text">
          <a:extLst>
            <a:ext uri="{FF2B5EF4-FFF2-40B4-BE49-F238E27FC236}">
              <a16:creationId xmlns:a16="http://schemas.microsoft.com/office/drawing/2014/main" id="{66A87443-5ED1-4E2F-9013-49AC240C4E86}"/>
            </a:ext>
          </a:extLst>
        </xdr:cNvPr>
        <xdr:cNvSpPr txBox="1"/>
      </xdr:nvSpPr>
      <xdr:spPr>
        <a:xfrm rot="16200000">
          <a:off x="2946400" y="115411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7</xdr:col>
      <xdr:colOff>60325</xdr:colOff>
      <xdr:row>65</xdr:row>
      <xdr:rowOff>117475</xdr:rowOff>
    </xdr:from>
    <xdr:to>
      <xdr:col>10</xdr:col>
      <xdr:colOff>193675</xdr:colOff>
      <xdr:row>67</xdr:row>
      <xdr:rowOff>53975</xdr:rowOff>
    </xdr:to>
    <xdr:sp macro="" textlink="">
      <xdr:nvSpPr>
        <xdr:cNvPr id="1235" name="NBTOTAL_IN">
          <a:extLst>
            <a:ext uri="{FF2B5EF4-FFF2-40B4-BE49-F238E27FC236}">
              <a16:creationId xmlns:a16="http://schemas.microsoft.com/office/drawing/2014/main" id="{2D9D4917-3D79-3023-06AC-60BA01E888E6}"/>
            </a:ext>
          </a:extLst>
        </xdr:cNvPr>
        <xdr:cNvSpPr txBox="1"/>
      </xdr:nvSpPr>
      <xdr:spPr>
        <a:xfrm>
          <a:off x="3556000" y="12747625"/>
          <a:ext cx="1333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 b="1">
              <a:solidFill>
                <a:srgbClr val="468EAE"/>
              </a:solidFill>
            </a:rPr>
            <a:t>IN: 546</a:t>
          </a:r>
        </a:p>
      </xdr:txBody>
    </xdr:sp>
    <xdr:clientData/>
  </xdr:twoCellAnchor>
  <xdr:twoCellAnchor>
    <xdr:from>
      <xdr:col>10</xdr:col>
      <xdr:colOff>130175</xdr:colOff>
      <xdr:row>65</xdr:row>
      <xdr:rowOff>117475</xdr:rowOff>
    </xdr:from>
    <xdr:to>
      <xdr:col>13</xdr:col>
      <xdr:colOff>263525</xdr:colOff>
      <xdr:row>67</xdr:row>
      <xdr:rowOff>53975</xdr:rowOff>
    </xdr:to>
    <xdr:sp macro="" textlink="">
      <xdr:nvSpPr>
        <xdr:cNvPr id="1236" name="NBTOTAL_OUT">
          <a:extLst>
            <a:ext uri="{FF2B5EF4-FFF2-40B4-BE49-F238E27FC236}">
              <a16:creationId xmlns:a16="http://schemas.microsoft.com/office/drawing/2014/main" id="{61BCCEE6-DA15-4B7F-8228-293ACBD149C7}"/>
            </a:ext>
          </a:extLst>
        </xdr:cNvPr>
        <xdr:cNvSpPr txBox="1"/>
      </xdr:nvSpPr>
      <xdr:spPr>
        <a:xfrm>
          <a:off x="4826000" y="12747625"/>
          <a:ext cx="1333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 b="1">
              <a:solidFill>
                <a:srgbClr val="468EAE"/>
              </a:solidFill>
            </a:rPr>
            <a:t>OUT: 40</a:t>
          </a:r>
        </a:p>
      </xdr:txBody>
    </xdr:sp>
    <xdr:clientData/>
  </xdr:twoCellAnchor>
  <xdr:twoCellAnchor>
    <xdr:from>
      <xdr:col>1</xdr:col>
      <xdr:colOff>26987</xdr:colOff>
      <xdr:row>46</xdr:row>
      <xdr:rowOff>125413</xdr:rowOff>
    </xdr:from>
    <xdr:to>
      <xdr:col>4</xdr:col>
      <xdr:colOff>341312</xdr:colOff>
      <xdr:row>52</xdr:row>
      <xdr:rowOff>39688</xdr:rowOff>
    </xdr:to>
    <xdr:sp macro="" textlink="">
      <xdr:nvSpPr>
        <xdr:cNvPr id="1237" name="EBR">
          <a:extLst>
            <a:ext uri="{FF2B5EF4-FFF2-40B4-BE49-F238E27FC236}">
              <a16:creationId xmlns:a16="http://schemas.microsoft.com/office/drawing/2014/main" id="{C5BACC8D-8BE2-897E-C466-E84989B0C2EC}"/>
            </a:ext>
          </a:extLst>
        </xdr:cNvPr>
        <xdr:cNvSpPr/>
      </xdr:nvSpPr>
      <xdr:spPr>
        <a:xfrm rot="5400000">
          <a:off x="1079500" y="8636000"/>
          <a:ext cx="1162050" cy="1952625"/>
        </a:xfrm>
        <a:prstGeom prst="bentArrow">
          <a:avLst/>
        </a:prstGeom>
        <a:solidFill>
          <a:srgbClr val="B04472">
            <a:alpha val="60000"/>
          </a:srgbClr>
        </a:solidFill>
        <a:ln w="12700" cap="flat" cmpd="sng" algn="ctr">
          <a:solidFill>
            <a:srgbClr val="B0447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549275</xdr:colOff>
      <xdr:row>46</xdr:row>
      <xdr:rowOff>133350</xdr:rowOff>
    </xdr:from>
    <xdr:to>
      <xdr:col>3</xdr:col>
      <xdr:colOff>9525</xdr:colOff>
      <xdr:row>48</xdr:row>
      <xdr:rowOff>12700</xdr:rowOff>
    </xdr:to>
    <xdr:sp macro="" textlink="">
      <xdr:nvSpPr>
        <xdr:cNvPr id="1238" name="EBR_text">
          <a:extLst>
            <a:ext uri="{FF2B5EF4-FFF2-40B4-BE49-F238E27FC236}">
              <a16:creationId xmlns:a16="http://schemas.microsoft.com/office/drawing/2014/main" id="{D79B4A65-53DF-29A5-6326-9AF6264BEAC2}"/>
            </a:ext>
          </a:extLst>
        </xdr:cNvPr>
        <xdr:cNvSpPr txBox="1"/>
      </xdr:nvSpPr>
      <xdr:spPr>
        <a:xfrm>
          <a:off x="1206500" y="90392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1</xdr:col>
      <xdr:colOff>28575</xdr:colOff>
      <xdr:row>42</xdr:row>
      <xdr:rowOff>152400</xdr:rowOff>
    </xdr:from>
    <xdr:to>
      <xdr:col>5</xdr:col>
      <xdr:colOff>149225</xdr:colOff>
      <xdr:row>45</xdr:row>
      <xdr:rowOff>161925</xdr:rowOff>
    </xdr:to>
    <xdr:sp macro="" textlink="">
      <xdr:nvSpPr>
        <xdr:cNvPr id="1239" name="EBT">
          <a:extLst>
            <a:ext uri="{FF2B5EF4-FFF2-40B4-BE49-F238E27FC236}">
              <a16:creationId xmlns:a16="http://schemas.microsoft.com/office/drawing/2014/main" id="{E2513714-578F-1798-FD4B-DEDDA057D7D8}"/>
            </a:ext>
          </a:extLst>
        </xdr:cNvPr>
        <xdr:cNvSpPr/>
      </xdr:nvSpPr>
      <xdr:spPr>
        <a:xfrm rot="5400000">
          <a:off x="1460500" y="7493000"/>
          <a:ext cx="609600" cy="2159000"/>
        </a:xfrm>
        <a:prstGeom prst="upArrow">
          <a:avLst/>
        </a:prstGeom>
        <a:solidFill>
          <a:srgbClr val="B04472">
            <a:alpha val="60000"/>
          </a:srgbClr>
        </a:solidFill>
        <a:ln w="12700" cap="flat" cmpd="sng" algn="ctr">
          <a:solidFill>
            <a:srgbClr val="B0447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549275</xdr:colOff>
      <xdr:row>43</xdr:row>
      <xdr:rowOff>139700</xdr:rowOff>
    </xdr:from>
    <xdr:to>
      <xdr:col>3</xdr:col>
      <xdr:colOff>9525</xdr:colOff>
      <xdr:row>45</xdr:row>
      <xdr:rowOff>47625</xdr:rowOff>
    </xdr:to>
    <xdr:sp macro="" textlink="">
      <xdr:nvSpPr>
        <xdr:cNvPr id="1240" name="EBT_text">
          <a:extLst>
            <a:ext uri="{FF2B5EF4-FFF2-40B4-BE49-F238E27FC236}">
              <a16:creationId xmlns:a16="http://schemas.microsoft.com/office/drawing/2014/main" id="{FFBBE7AF-BB6B-D40E-CB30-E39011C910F6}"/>
            </a:ext>
          </a:extLst>
        </xdr:cNvPr>
        <xdr:cNvSpPr txBox="1"/>
      </xdr:nvSpPr>
      <xdr:spPr>
        <a:xfrm>
          <a:off x="1206500" y="8445500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1</xdr:col>
      <xdr:colOff>26987</xdr:colOff>
      <xdr:row>35</xdr:row>
      <xdr:rowOff>153988</xdr:rowOff>
    </xdr:from>
    <xdr:to>
      <xdr:col>4</xdr:col>
      <xdr:colOff>341312</xdr:colOff>
      <xdr:row>41</xdr:row>
      <xdr:rowOff>173038</xdr:rowOff>
    </xdr:to>
    <xdr:sp macro="" textlink="">
      <xdr:nvSpPr>
        <xdr:cNvPr id="1241" name="EBL">
          <a:extLst>
            <a:ext uri="{FF2B5EF4-FFF2-40B4-BE49-F238E27FC236}">
              <a16:creationId xmlns:a16="http://schemas.microsoft.com/office/drawing/2014/main" id="{002D828D-7469-144D-3B4A-975B7DAEB503}"/>
            </a:ext>
          </a:extLst>
        </xdr:cNvPr>
        <xdr:cNvSpPr/>
      </xdr:nvSpPr>
      <xdr:spPr>
        <a:xfrm rot="5400000" flipH="1">
          <a:off x="1079500" y="6540500"/>
          <a:ext cx="1162050" cy="1952625"/>
        </a:xfrm>
        <a:prstGeom prst="bentArrow">
          <a:avLst/>
        </a:prstGeom>
        <a:solidFill>
          <a:srgbClr val="B04472">
            <a:alpha val="60000"/>
          </a:srgbClr>
        </a:solidFill>
        <a:ln w="12700" cap="flat" cmpd="sng" algn="ctr">
          <a:solidFill>
            <a:srgbClr val="B0447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549275</xdr:colOff>
      <xdr:row>40</xdr:row>
      <xdr:rowOff>60325</xdr:rowOff>
    </xdr:from>
    <xdr:to>
      <xdr:col>3</xdr:col>
      <xdr:colOff>9525</xdr:colOff>
      <xdr:row>41</xdr:row>
      <xdr:rowOff>187325</xdr:rowOff>
    </xdr:to>
    <xdr:sp macro="" textlink="">
      <xdr:nvSpPr>
        <xdr:cNvPr id="1242" name="EBL_text">
          <a:extLst>
            <a:ext uri="{FF2B5EF4-FFF2-40B4-BE49-F238E27FC236}">
              <a16:creationId xmlns:a16="http://schemas.microsoft.com/office/drawing/2014/main" id="{44255855-548D-AEDF-43FC-85F5342AB2C3}"/>
            </a:ext>
          </a:extLst>
        </xdr:cNvPr>
        <xdr:cNvSpPr txBox="1"/>
      </xdr:nvSpPr>
      <xdr:spPr>
        <a:xfrm>
          <a:off x="1206500" y="77946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1</xdr:col>
      <xdr:colOff>26987</xdr:colOff>
      <xdr:row>29</xdr:row>
      <xdr:rowOff>90488</xdr:rowOff>
    </xdr:from>
    <xdr:to>
      <xdr:col>4</xdr:col>
      <xdr:colOff>341312</xdr:colOff>
      <xdr:row>35</xdr:row>
      <xdr:rowOff>109538</xdr:rowOff>
    </xdr:to>
    <xdr:sp macro="" textlink="">
      <xdr:nvSpPr>
        <xdr:cNvPr id="1243" name="EBU">
          <a:extLst>
            <a:ext uri="{FF2B5EF4-FFF2-40B4-BE49-F238E27FC236}">
              <a16:creationId xmlns:a16="http://schemas.microsoft.com/office/drawing/2014/main" id="{8807B534-284E-BB67-C136-ABF7067E0D4A}"/>
            </a:ext>
          </a:extLst>
        </xdr:cNvPr>
        <xdr:cNvSpPr/>
      </xdr:nvSpPr>
      <xdr:spPr>
        <a:xfrm rot="5400000" flipH="1">
          <a:off x="1079500" y="5334000"/>
          <a:ext cx="1162050" cy="1952625"/>
        </a:xfrm>
        <a:prstGeom prst="uturnArrow">
          <a:avLst/>
        </a:prstGeom>
        <a:solidFill>
          <a:srgbClr val="B04472">
            <a:alpha val="60000"/>
          </a:srgbClr>
        </a:solidFill>
        <a:ln w="12700" cap="flat" cmpd="sng" algn="ctr">
          <a:solidFill>
            <a:srgbClr val="B0447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549275</xdr:colOff>
      <xdr:row>33</xdr:row>
      <xdr:rowOff>187325</xdr:rowOff>
    </xdr:from>
    <xdr:to>
      <xdr:col>3</xdr:col>
      <xdr:colOff>9525</xdr:colOff>
      <xdr:row>35</xdr:row>
      <xdr:rowOff>123825</xdr:rowOff>
    </xdr:to>
    <xdr:sp macro="" textlink="">
      <xdr:nvSpPr>
        <xdr:cNvPr id="1244" name="EBU_text">
          <a:extLst>
            <a:ext uri="{FF2B5EF4-FFF2-40B4-BE49-F238E27FC236}">
              <a16:creationId xmlns:a16="http://schemas.microsoft.com/office/drawing/2014/main" id="{B037523B-5DF7-1269-CFED-0279F4F29214}"/>
            </a:ext>
          </a:extLst>
        </xdr:cNvPr>
        <xdr:cNvSpPr txBox="1"/>
      </xdr:nvSpPr>
      <xdr:spPr>
        <a:xfrm>
          <a:off x="1206500" y="65881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0</xdr:col>
      <xdr:colOff>63500</xdr:colOff>
      <xdr:row>39</xdr:row>
      <xdr:rowOff>123825</xdr:rowOff>
    </xdr:from>
    <xdr:to>
      <xdr:col>0</xdr:col>
      <xdr:colOff>571500</xdr:colOff>
      <xdr:row>45</xdr:row>
      <xdr:rowOff>31750</xdr:rowOff>
    </xdr:to>
    <xdr:sp macro="" textlink="">
      <xdr:nvSpPr>
        <xdr:cNvPr id="1245" name="EBTOTAL_IN">
          <a:extLst>
            <a:ext uri="{FF2B5EF4-FFF2-40B4-BE49-F238E27FC236}">
              <a16:creationId xmlns:a16="http://schemas.microsoft.com/office/drawing/2014/main" id="{252B5652-7BC2-4EF0-6BB2-4B8487085F2B}"/>
            </a:ext>
          </a:extLst>
        </xdr:cNvPr>
        <xdr:cNvSpPr txBox="1"/>
      </xdr:nvSpPr>
      <xdr:spPr>
        <a:xfrm>
          <a:off x="63500" y="7667625"/>
          <a:ext cx="508000" cy="1079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 b="1">
              <a:solidFill>
                <a:srgbClr val="B04472"/>
              </a:solidFill>
            </a:rPr>
            <a:t>IN: 544</a:t>
          </a:r>
        </a:p>
      </xdr:txBody>
    </xdr:sp>
    <xdr:clientData/>
  </xdr:twoCellAnchor>
  <xdr:twoCellAnchor>
    <xdr:from>
      <xdr:col>0</xdr:col>
      <xdr:colOff>63500</xdr:colOff>
      <xdr:row>44</xdr:row>
      <xdr:rowOff>69850</xdr:rowOff>
    </xdr:from>
    <xdr:to>
      <xdr:col>1</xdr:col>
      <xdr:colOff>41275</xdr:colOff>
      <xdr:row>49</xdr:row>
      <xdr:rowOff>101600</xdr:rowOff>
    </xdr:to>
    <xdr:sp macro="" textlink="">
      <xdr:nvSpPr>
        <xdr:cNvPr id="1246" name="EBTOTAL_OUT">
          <a:extLst>
            <a:ext uri="{FF2B5EF4-FFF2-40B4-BE49-F238E27FC236}">
              <a16:creationId xmlns:a16="http://schemas.microsoft.com/office/drawing/2014/main" id="{B0A4E681-6246-A9B5-8F68-289823815BB9}"/>
            </a:ext>
          </a:extLst>
        </xdr:cNvPr>
        <xdr:cNvSpPr txBox="1"/>
      </xdr:nvSpPr>
      <xdr:spPr>
        <a:xfrm>
          <a:off x="63500" y="8556625"/>
          <a:ext cx="635000" cy="1079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 b="1">
              <a:solidFill>
                <a:srgbClr val="B04472"/>
              </a:solidFill>
            </a:rPr>
            <a:t>OUT: 0</a:t>
          </a:r>
        </a:p>
      </xdr:txBody>
    </xdr:sp>
    <xdr:clientData/>
  </xdr:twoCellAnchor>
  <xdr:twoCellAnchor>
    <xdr:from>
      <xdr:col>6</xdr:col>
      <xdr:colOff>142875</xdr:colOff>
      <xdr:row>22</xdr:row>
      <xdr:rowOff>149225</xdr:rowOff>
    </xdr:from>
    <xdr:to>
      <xdr:col>9</xdr:col>
      <xdr:colOff>104775</xdr:colOff>
      <xdr:row>32</xdr:row>
      <xdr:rowOff>149225</xdr:rowOff>
    </xdr:to>
    <xdr:sp macro="" textlink="">
      <xdr:nvSpPr>
        <xdr:cNvPr id="1247" name="SBR">
          <a:extLst>
            <a:ext uri="{FF2B5EF4-FFF2-40B4-BE49-F238E27FC236}">
              <a16:creationId xmlns:a16="http://schemas.microsoft.com/office/drawing/2014/main" id="{0313E4E4-07D4-94F9-893F-BEAC5A6C3268}"/>
            </a:ext>
          </a:extLst>
        </xdr:cNvPr>
        <xdr:cNvSpPr/>
      </xdr:nvSpPr>
      <xdr:spPr>
        <a:xfrm rot="10800000">
          <a:off x="3238500" y="4406900"/>
          <a:ext cx="1162050" cy="1952625"/>
        </a:xfrm>
        <a:prstGeom prst="bentArrow">
          <a:avLst/>
        </a:prstGeom>
        <a:solidFill>
          <a:schemeClr val="bg2">
            <a:lumMod val="50000"/>
            <a:alpha val="60000"/>
          </a:schemeClr>
        </a:solidFill>
        <a:ln w="12700" cap="flat" cmpd="sng" algn="ctr">
          <a:solidFill>
            <a:schemeClr val="bg2">
              <a:lumMod val="5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193675</xdr:colOff>
      <xdr:row>23</xdr:row>
      <xdr:rowOff>171450</xdr:rowOff>
    </xdr:from>
    <xdr:to>
      <xdr:col>9</xdr:col>
      <xdr:colOff>111125</xdr:colOff>
      <xdr:row>27</xdr:row>
      <xdr:rowOff>60325</xdr:rowOff>
    </xdr:to>
    <xdr:sp macro="" textlink="">
      <xdr:nvSpPr>
        <xdr:cNvPr id="1248" name="SBR_text">
          <a:extLst>
            <a:ext uri="{FF2B5EF4-FFF2-40B4-BE49-F238E27FC236}">
              <a16:creationId xmlns:a16="http://schemas.microsoft.com/office/drawing/2014/main" id="{B5AE9F18-6D47-A49B-58BC-0C5E865CB19D}"/>
            </a:ext>
          </a:extLst>
        </xdr:cNvPr>
        <xdr:cNvSpPr txBox="1"/>
      </xdr:nvSpPr>
      <xdr:spPr>
        <a:xfrm rot="16200000">
          <a:off x="3898900" y="48101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11</a:t>
          </a:r>
        </a:p>
      </xdr:txBody>
    </xdr:sp>
    <xdr:clientData/>
  </xdr:twoCellAnchor>
  <xdr:twoCellAnchor>
    <xdr:from>
      <xdr:col>9</xdr:col>
      <xdr:colOff>276225</xdr:colOff>
      <xdr:row>22</xdr:row>
      <xdr:rowOff>149225</xdr:rowOff>
    </xdr:from>
    <xdr:to>
      <xdr:col>11</xdr:col>
      <xdr:colOff>85725</xdr:colOff>
      <xdr:row>33</xdr:row>
      <xdr:rowOff>165100</xdr:rowOff>
    </xdr:to>
    <xdr:sp macro="" textlink="">
      <xdr:nvSpPr>
        <xdr:cNvPr id="1249" name="SBT">
          <a:extLst>
            <a:ext uri="{FF2B5EF4-FFF2-40B4-BE49-F238E27FC236}">
              <a16:creationId xmlns:a16="http://schemas.microsoft.com/office/drawing/2014/main" id="{8D5D4C10-D581-7BFD-44EF-39A0F1CDF6DB}"/>
            </a:ext>
          </a:extLst>
        </xdr:cNvPr>
        <xdr:cNvSpPr/>
      </xdr:nvSpPr>
      <xdr:spPr>
        <a:xfrm rot="10800000">
          <a:off x="4572000" y="4406900"/>
          <a:ext cx="609600" cy="2159000"/>
        </a:xfrm>
        <a:prstGeom prst="upArrow">
          <a:avLst/>
        </a:prstGeom>
        <a:solidFill>
          <a:schemeClr val="bg2">
            <a:lumMod val="50000"/>
            <a:alpha val="60000"/>
          </a:schemeClr>
        </a:solidFill>
        <a:ln w="12700" cap="flat" cmpd="sng" algn="ctr">
          <a:solidFill>
            <a:schemeClr val="bg2">
              <a:lumMod val="5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53975</xdr:colOff>
      <xdr:row>23</xdr:row>
      <xdr:rowOff>187325</xdr:rowOff>
    </xdr:from>
    <xdr:to>
      <xdr:col>10</xdr:col>
      <xdr:colOff>371475</xdr:colOff>
      <xdr:row>27</xdr:row>
      <xdr:rowOff>76200</xdr:rowOff>
    </xdr:to>
    <xdr:sp macro="" textlink="">
      <xdr:nvSpPr>
        <xdr:cNvPr id="1250" name="SBT_text">
          <a:extLst>
            <a:ext uri="{FF2B5EF4-FFF2-40B4-BE49-F238E27FC236}">
              <a16:creationId xmlns:a16="http://schemas.microsoft.com/office/drawing/2014/main" id="{5072BF9F-BBC0-24EE-0208-97352D52FE34}"/>
            </a:ext>
          </a:extLst>
        </xdr:cNvPr>
        <xdr:cNvSpPr txBox="1"/>
      </xdr:nvSpPr>
      <xdr:spPr>
        <a:xfrm rot="16200000">
          <a:off x="4559300" y="4826000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517</a:t>
          </a:r>
        </a:p>
      </xdr:txBody>
    </xdr:sp>
    <xdr:clientData/>
  </xdr:twoCellAnchor>
  <xdr:twoCellAnchor>
    <xdr:from>
      <xdr:col>11</xdr:col>
      <xdr:colOff>365125</xdr:colOff>
      <xdr:row>22</xdr:row>
      <xdr:rowOff>149225</xdr:rowOff>
    </xdr:from>
    <xdr:to>
      <xdr:col>14</xdr:col>
      <xdr:colOff>327025</xdr:colOff>
      <xdr:row>32</xdr:row>
      <xdr:rowOff>149225</xdr:rowOff>
    </xdr:to>
    <xdr:sp macro="" textlink="">
      <xdr:nvSpPr>
        <xdr:cNvPr id="1251" name="SBL">
          <a:extLst>
            <a:ext uri="{FF2B5EF4-FFF2-40B4-BE49-F238E27FC236}">
              <a16:creationId xmlns:a16="http://schemas.microsoft.com/office/drawing/2014/main" id="{175D557D-3731-6805-6FEA-F7CE2E886C1C}"/>
            </a:ext>
          </a:extLst>
        </xdr:cNvPr>
        <xdr:cNvSpPr/>
      </xdr:nvSpPr>
      <xdr:spPr>
        <a:xfrm rot="10800000" flipH="1">
          <a:off x="5461000" y="4406900"/>
          <a:ext cx="1162050" cy="1952625"/>
        </a:xfrm>
        <a:prstGeom prst="bentArrow">
          <a:avLst/>
        </a:prstGeom>
        <a:solidFill>
          <a:schemeClr val="bg2">
            <a:lumMod val="50000"/>
            <a:alpha val="60000"/>
          </a:schemeClr>
        </a:solidFill>
        <a:ln w="12700" cap="flat" cmpd="sng" algn="ctr">
          <a:solidFill>
            <a:schemeClr val="bg2">
              <a:lumMod val="5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390525</xdr:colOff>
      <xdr:row>23</xdr:row>
      <xdr:rowOff>196850</xdr:rowOff>
    </xdr:from>
    <xdr:to>
      <xdr:col>12</xdr:col>
      <xdr:colOff>307975</xdr:colOff>
      <xdr:row>27</xdr:row>
      <xdr:rowOff>85725</xdr:rowOff>
    </xdr:to>
    <xdr:sp macro="" textlink="">
      <xdr:nvSpPr>
        <xdr:cNvPr id="1252" name="SBL_text">
          <a:extLst>
            <a:ext uri="{FF2B5EF4-FFF2-40B4-BE49-F238E27FC236}">
              <a16:creationId xmlns:a16="http://schemas.microsoft.com/office/drawing/2014/main" id="{58105E04-22A4-0137-B3B7-83625C13F7AA}"/>
            </a:ext>
          </a:extLst>
        </xdr:cNvPr>
        <xdr:cNvSpPr txBox="1"/>
      </xdr:nvSpPr>
      <xdr:spPr>
        <a:xfrm rot="16200000">
          <a:off x="5295900" y="48355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14</xdr:col>
      <xdr:colOff>371475</xdr:colOff>
      <xdr:row>22</xdr:row>
      <xdr:rowOff>149225</xdr:rowOff>
    </xdr:from>
    <xdr:to>
      <xdr:col>17</xdr:col>
      <xdr:colOff>333375</xdr:colOff>
      <xdr:row>32</xdr:row>
      <xdr:rowOff>149225</xdr:rowOff>
    </xdr:to>
    <xdr:sp macro="" textlink="">
      <xdr:nvSpPr>
        <xdr:cNvPr id="1253" name="SBU">
          <a:extLst>
            <a:ext uri="{FF2B5EF4-FFF2-40B4-BE49-F238E27FC236}">
              <a16:creationId xmlns:a16="http://schemas.microsoft.com/office/drawing/2014/main" id="{8A69DADF-9AE0-C0EA-DA02-49614816A967}"/>
            </a:ext>
          </a:extLst>
        </xdr:cNvPr>
        <xdr:cNvSpPr/>
      </xdr:nvSpPr>
      <xdr:spPr>
        <a:xfrm rot="10800000" flipH="1">
          <a:off x="6667500" y="4406900"/>
          <a:ext cx="1162050" cy="1952625"/>
        </a:xfrm>
        <a:prstGeom prst="uturnArrow">
          <a:avLst/>
        </a:prstGeom>
        <a:solidFill>
          <a:schemeClr val="bg2">
            <a:lumMod val="50000"/>
            <a:alpha val="60000"/>
          </a:schemeClr>
        </a:solidFill>
        <a:ln w="12700" cap="flat" cmpd="sng" algn="ctr">
          <a:solidFill>
            <a:schemeClr val="bg2">
              <a:lumMod val="5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371475</xdr:colOff>
      <xdr:row>23</xdr:row>
      <xdr:rowOff>196850</xdr:rowOff>
    </xdr:from>
    <xdr:to>
      <xdr:col>15</xdr:col>
      <xdr:colOff>288925</xdr:colOff>
      <xdr:row>27</xdr:row>
      <xdr:rowOff>85725</xdr:rowOff>
    </xdr:to>
    <xdr:sp macro="" textlink="">
      <xdr:nvSpPr>
        <xdr:cNvPr id="1254" name="SBU_text">
          <a:extLst>
            <a:ext uri="{FF2B5EF4-FFF2-40B4-BE49-F238E27FC236}">
              <a16:creationId xmlns:a16="http://schemas.microsoft.com/office/drawing/2014/main" id="{D4C01C3D-7EE8-FFB4-1DA0-0C7C0860BEA6}"/>
            </a:ext>
          </a:extLst>
        </xdr:cNvPr>
        <xdr:cNvSpPr txBox="1"/>
      </xdr:nvSpPr>
      <xdr:spPr>
        <a:xfrm rot="16200000">
          <a:off x="6477000" y="48355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8</xdr:col>
      <xdr:colOff>231775</xdr:colOff>
      <xdr:row>19</xdr:row>
      <xdr:rowOff>180975</xdr:rowOff>
    </xdr:from>
    <xdr:to>
      <xdr:col>11</xdr:col>
      <xdr:colOff>365125</xdr:colOff>
      <xdr:row>21</xdr:row>
      <xdr:rowOff>69850</xdr:rowOff>
    </xdr:to>
    <xdr:sp macro="" textlink="">
      <xdr:nvSpPr>
        <xdr:cNvPr id="1255" name="SBTOTAL_IN">
          <a:extLst>
            <a:ext uri="{FF2B5EF4-FFF2-40B4-BE49-F238E27FC236}">
              <a16:creationId xmlns:a16="http://schemas.microsoft.com/office/drawing/2014/main" id="{FF103CB5-8097-6ED5-2A67-106369C5E951}"/>
            </a:ext>
          </a:extLst>
        </xdr:cNvPr>
        <xdr:cNvSpPr txBox="1"/>
      </xdr:nvSpPr>
      <xdr:spPr>
        <a:xfrm>
          <a:off x="4127500" y="3819525"/>
          <a:ext cx="1333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 b="1">
              <a:solidFill>
                <a:schemeClr val="bg2">
                  <a:lumMod val="50000"/>
                </a:schemeClr>
              </a:solidFill>
            </a:rPr>
            <a:t>IN: 0</a:t>
          </a:r>
        </a:p>
      </xdr:txBody>
    </xdr:sp>
    <xdr:clientData/>
  </xdr:twoCellAnchor>
  <xdr:twoCellAnchor>
    <xdr:from>
      <xdr:col>11</xdr:col>
      <xdr:colOff>301625</xdr:colOff>
      <xdr:row>19</xdr:row>
      <xdr:rowOff>180975</xdr:rowOff>
    </xdr:from>
    <xdr:to>
      <xdr:col>15</xdr:col>
      <xdr:colOff>34925</xdr:colOff>
      <xdr:row>21</xdr:row>
      <xdr:rowOff>69850</xdr:rowOff>
    </xdr:to>
    <xdr:sp macro="" textlink="">
      <xdr:nvSpPr>
        <xdr:cNvPr id="1256" name="SBTOTAL_OUT">
          <a:extLst>
            <a:ext uri="{FF2B5EF4-FFF2-40B4-BE49-F238E27FC236}">
              <a16:creationId xmlns:a16="http://schemas.microsoft.com/office/drawing/2014/main" id="{5AA10F01-41C3-3950-B9EC-955825B02B10}"/>
            </a:ext>
          </a:extLst>
        </xdr:cNvPr>
        <xdr:cNvSpPr txBox="1"/>
      </xdr:nvSpPr>
      <xdr:spPr>
        <a:xfrm>
          <a:off x="5397500" y="3819525"/>
          <a:ext cx="1333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 b="1">
              <a:solidFill>
                <a:schemeClr val="bg2">
                  <a:lumMod val="50000"/>
                </a:schemeClr>
              </a:solidFill>
            </a:rPr>
            <a:t>OUT: 528</a:t>
          </a:r>
        </a:p>
      </xdr:txBody>
    </xdr:sp>
    <xdr:clientData/>
  </xdr:twoCellAnchor>
  <xdr:twoCellAnchor>
    <xdr:from>
      <xdr:col>17</xdr:col>
      <xdr:colOff>46037</xdr:colOff>
      <xdr:row>35</xdr:row>
      <xdr:rowOff>153988</xdr:rowOff>
    </xdr:from>
    <xdr:to>
      <xdr:col>21</xdr:col>
      <xdr:colOff>398462</xdr:colOff>
      <xdr:row>41</xdr:row>
      <xdr:rowOff>173038</xdr:rowOff>
    </xdr:to>
    <xdr:sp macro="" textlink="">
      <xdr:nvSpPr>
        <xdr:cNvPr id="1257" name="WBR">
          <a:extLst>
            <a:ext uri="{FF2B5EF4-FFF2-40B4-BE49-F238E27FC236}">
              <a16:creationId xmlns:a16="http://schemas.microsoft.com/office/drawing/2014/main" id="{D3CCE4DA-A4FF-B8E7-8CFB-0830F7FB49BC}"/>
            </a:ext>
          </a:extLst>
        </xdr:cNvPr>
        <xdr:cNvSpPr/>
      </xdr:nvSpPr>
      <xdr:spPr>
        <a:xfrm rot="16200000">
          <a:off x="7937500" y="6540500"/>
          <a:ext cx="1162050" cy="1952625"/>
        </a:xfrm>
        <a:prstGeom prst="bentArrow">
          <a:avLst/>
        </a:prstGeom>
        <a:solidFill>
          <a:srgbClr val="90A84C">
            <a:alpha val="60000"/>
          </a:srgbClr>
        </a:solidFill>
        <a:ln w="12700" cap="flat" cmpd="sng" algn="ctr">
          <a:solidFill>
            <a:srgbClr val="90A84C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276225</xdr:colOff>
      <xdr:row>40</xdr:row>
      <xdr:rowOff>98425</xdr:rowOff>
    </xdr:from>
    <xdr:to>
      <xdr:col>21</xdr:col>
      <xdr:colOff>174625</xdr:colOff>
      <xdr:row>42</xdr:row>
      <xdr:rowOff>34925</xdr:rowOff>
    </xdr:to>
    <xdr:sp macro="" textlink="">
      <xdr:nvSpPr>
        <xdr:cNvPr id="1258" name="WBR_text">
          <a:extLst>
            <a:ext uri="{FF2B5EF4-FFF2-40B4-BE49-F238E27FC236}">
              <a16:creationId xmlns:a16="http://schemas.microsoft.com/office/drawing/2014/main" id="{266F86F1-64FD-E412-CA54-3838D3B6FE4A}"/>
            </a:ext>
          </a:extLst>
        </xdr:cNvPr>
        <xdr:cNvSpPr txBox="1"/>
      </xdr:nvSpPr>
      <xdr:spPr>
        <a:xfrm>
          <a:off x="8572500" y="78327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16</xdr:col>
      <xdr:colOff>231775</xdr:colOff>
      <xdr:row>42</xdr:row>
      <xdr:rowOff>152400</xdr:rowOff>
    </xdr:from>
    <xdr:to>
      <xdr:col>21</xdr:col>
      <xdr:colOff>390525</xdr:colOff>
      <xdr:row>45</xdr:row>
      <xdr:rowOff>161925</xdr:rowOff>
    </xdr:to>
    <xdr:sp macro="" textlink="">
      <xdr:nvSpPr>
        <xdr:cNvPr id="1259" name="WBT">
          <a:extLst>
            <a:ext uri="{FF2B5EF4-FFF2-40B4-BE49-F238E27FC236}">
              <a16:creationId xmlns:a16="http://schemas.microsoft.com/office/drawing/2014/main" id="{F27617F3-DC1D-2150-7D9C-DD41787920A4}"/>
            </a:ext>
          </a:extLst>
        </xdr:cNvPr>
        <xdr:cNvSpPr/>
      </xdr:nvSpPr>
      <xdr:spPr>
        <a:xfrm rot="16200000">
          <a:off x="8102600" y="7493000"/>
          <a:ext cx="609600" cy="2159000"/>
        </a:xfrm>
        <a:prstGeom prst="upArrow">
          <a:avLst/>
        </a:prstGeom>
        <a:solidFill>
          <a:srgbClr val="90A84C">
            <a:alpha val="60000"/>
          </a:srgbClr>
        </a:solidFill>
        <a:ln w="12700" cap="flat" cmpd="sng" algn="ctr">
          <a:solidFill>
            <a:srgbClr val="90A84C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250825</xdr:colOff>
      <xdr:row>43</xdr:row>
      <xdr:rowOff>139700</xdr:rowOff>
    </xdr:from>
    <xdr:to>
      <xdr:col>21</xdr:col>
      <xdr:colOff>149225</xdr:colOff>
      <xdr:row>45</xdr:row>
      <xdr:rowOff>47625</xdr:rowOff>
    </xdr:to>
    <xdr:sp macro="" textlink="">
      <xdr:nvSpPr>
        <xdr:cNvPr id="1260" name="WBT_text">
          <a:extLst>
            <a:ext uri="{FF2B5EF4-FFF2-40B4-BE49-F238E27FC236}">
              <a16:creationId xmlns:a16="http://schemas.microsoft.com/office/drawing/2014/main" id="{56B8C0BF-832F-8BC5-3488-2BE08676E6DC}"/>
            </a:ext>
          </a:extLst>
        </xdr:cNvPr>
        <xdr:cNvSpPr txBox="1"/>
      </xdr:nvSpPr>
      <xdr:spPr>
        <a:xfrm>
          <a:off x="8547100" y="8445500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528</a:t>
          </a:r>
        </a:p>
      </xdr:txBody>
    </xdr:sp>
    <xdr:clientData/>
  </xdr:twoCellAnchor>
  <xdr:twoCellAnchor>
    <xdr:from>
      <xdr:col>17</xdr:col>
      <xdr:colOff>46037</xdr:colOff>
      <xdr:row>46</xdr:row>
      <xdr:rowOff>100013</xdr:rowOff>
    </xdr:from>
    <xdr:to>
      <xdr:col>21</xdr:col>
      <xdr:colOff>398462</xdr:colOff>
      <xdr:row>52</xdr:row>
      <xdr:rowOff>14288</xdr:rowOff>
    </xdr:to>
    <xdr:sp macro="" textlink="">
      <xdr:nvSpPr>
        <xdr:cNvPr id="1261" name="WBL">
          <a:extLst>
            <a:ext uri="{FF2B5EF4-FFF2-40B4-BE49-F238E27FC236}">
              <a16:creationId xmlns:a16="http://schemas.microsoft.com/office/drawing/2014/main" id="{C25529DE-DD5C-EF58-8EEB-F43CF7BABF21}"/>
            </a:ext>
          </a:extLst>
        </xdr:cNvPr>
        <xdr:cNvSpPr/>
      </xdr:nvSpPr>
      <xdr:spPr>
        <a:xfrm rot="16200000" flipH="1">
          <a:off x="7937500" y="8610600"/>
          <a:ext cx="1162050" cy="1952625"/>
        </a:xfrm>
        <a:prstGeom prst="bentArrow">
          <a:avLst/>
        </a:prstGeom>
        <a:solidFill>
          <a:srgbClr val="90A84C">
            <a:alpha val="60000"/>
          </a:srgbClr>
        </a:solidFill>
        <a:ln w="12700" cap="flat" cmpd="sng" algn="ctr">
          <a:solidFill>
            <a:srgbClr val="90A84C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250825</xdr:colOff>
      <xdr:row>46</xdr:row>
      <xdr:rowOff>107950</xdr:rowOff>
    </xdr:from>
    <xdr:to>
      <xdr:col>21</xdr:col>
      <xdr:colOff>149225</xdr:colOff>
      <xdr:row>47</xdr:row>
      <xdr:rowOff>225425</xdr:rowOff>
    </xdr:to>
    <xdr:sp macro="" textlink="">
      <xdr:nvSpPr>
        <xdr:cNvPr id="1262" name="WBL_text">
          <a:extLst>
            <a:ext uri="{FF2B5EF4-FFF2-40B4-BE49-F238E27FC236}">
              <a16:creationId xmlns:a16="http://schemas.microsoft.com/office/drawing/2014/main" id="{CA778CF3-5BC7-3A04-41EC-653511E5E81D}"/>
            </a:ext>
          </a:extLst>
        </xdr:cNvPr>
        <xdr:cNvSpPr txBox="1"/>
      </xdr:nvSpPr>
      <xdr:spPr>
        <a:xfrm>
          <a:off x="8547100" y="90138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29</a:t>
          </a:r>
        </a:p>
      </xdr:txBody>
    </xdr:sp>
    <xdr:clientData/>
  </xdr:twoCellAnchor>
  <xdr:twoCellAnchor>
    <xdr:from>
      <xdr:col>17</xdr:col>
      <xdr:colOff>46037</xdr:colOff>
      <xdr:row>52</xdr:row>
      <xdr:rowOff>84138</xdr:rowOff>
    </xdr:from>
    <xdr:to>
      <xdr:col>21</xdr:col>
      <xdr:colOff>398462</xdr:colOff>
      <xdr:row>58</xdr:row>
      <xdr:rowOff>103188</xdr:rowOff>
    </xdr:to>
    <xdr:sp macro="" textlink="">
      <xdr:nvSpPr>
        <xdr:cNvPr id="1263" name="WBU">
          <a:extLst>
            <a:ext uri="{FF2B5EF4-FFF2-40B4-BE49-F238E27FC236}">
              <a16:creationId xmlns:a16="http://schemas.microsoft.com/office/drawing/2014/main" id="{C243D0F2-5170-2E0B-4718-03408AB8D2D8}"/>
            </a:ext>
          </a:extLst>
        </xdr:cNvPr>
        <xdr:cNvSpPr/>
      </xdr:nvSpPr>
      <xdr:spPr>
        <a:xfrm rot="16200000" flipH="1">
          <a:off x="7937500" y="9842500"/>
          <a:ext cx="1162050" cy="1952625"/>
        </a:xfrm>
        <a:prstGeom prst="uturnArrow">
          <a:avLst/>
        </a:prstGeom>
        <a:solidFill>
          <a:srgbClr val="90A84C">
            <a:alpha val="60000"/>
          </a:srgbClr>
        </a:solidFill>
        <a:ln w="12700" cap="flat" cmpd="sng" algn="ctr">
          <a:solidFill>
            <a:srgbClr val="90A84C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250825</xdr:colOff>
      <xdr:row>52</xdr:row>
      <xdr:rowOff>92075</xdr:rowOff>
    </xdr:from>
    <xdr:to>
      <xdr:col>21</xdr:col>
      <xdr:colOff>149225</xdr:colOff>
      <xdr:row>54</xdr:row>
      <xdr:rowOff>28575</xdr:rowOff>
    </xdr:to>
    <xdr:sp macro="" textlink="">
      <xdr:nvSpPr>
        <xdr:cNvPr id="1264" name="WBU_text">
          <a:extLst>
            <a:ext uri="{FF2B5EF4-FFF2-40B4-BE49-F238E27FC236}">
              <a16:creationId xmlns:a16="http://schemas.microsoft.com/office/drawing/2014/main" id="{D446DD23-98BE-823F-8910-09BCFA62240F}"/>
            </a:ext>
          </a:extLst>
        </xdr:cNvPr>
        <xdr:cNvSpPr txBox="1"/>
      </xdr:nvSpPr>
      <xdr:spPr>
        <a:xfrm>
          <a:off x="8547100" y="10245725"/>
          <a:ext cx="69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/>
              </a:solidFill>
            </a:rPr>
            <a:t>0</a:t>
          </a:r>
        </a:p>
      </xdr:txBody>
    </xdr:sp>
    <xdr:clientData/>
  </xdr:twoCellAnchor>
  <xdr:twoCellAnchor>
    <xdr:from>
      <xdr:col>22</xdr:col>
      <xdr:colOff>92075</xdr:colOff>
      <xdr:row>39</xdr:row>
      <xdr:rowOff>187325</xdr:rowOff>
    </xdr:from>
    <xdr:to>
      <xdr:col>22</xdr:col>
      <xdr:colOff>600075</xdr:colOff>
      <xdr:row>45</xdr:row>
      <xdr:rowOff>95250</xdr:rowOff>
    </xdr:to>
    <xdr:sp macro="" textlink="">
      <xdr:nvSpPr>
        <xdr:cNvPr id="1265" name="WBTOTAL_IN">
          <a:extLst>
            <a:ext uri="{FF2B5EF4-FFF2-40B4-BE49-F238E27FC236}">
              <a16:creationId xmlns:a16="http://schemas.microsoft.com/office/drawing/2014/main" id="{11DE47DC-5AB9-9B7A-7D31-1CADAB9FDB6C}"/>
            </a:ext>
          </a:extLst>
        </xdr:cNvPr>
        <xdr:cNvSpPr txBox="1"/>
      </xdr:nvSpPr>
      <xdr:spPr>
        <a:xfrm>
          <a:off x="9588500" y="7731125"/>
          <a:ext cx="508000" cy="1079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 b="1">
              <a:solidFill>
                <a:srgbClr val="90A84C"/>
              </a:solidFill>
            </a:rPr>
            <a:t>IN: 35</a:t>
          </a:r>
        </a:p>
      </xdr:txBody>
    </xdr:sp>
    <xdr:clientData/>
  </xdr:twoCellAnchor>
  <xdr:twoCellAnchor>
    <xdr:from>
      <xdr:col>22</xdr:col>
      <xdr:colOff>92075</xdr:colOff>
      <xdr:row>44</xdr:row>
      <xdr:rowOff>69850</xdr:rowOff>
    </xdr:from>
    <xdr:to>
      <xdr:col>23</xdr:col>
      <xdr:colOff>69850</xdr:colOff>
      <xdr:row>49</xdr:row>
      <xdr:rowOff>101600</xdr:rowOff>
    </xdr:to>
    <xdr:sp macro="" textlink="">
      <xdr:nvSpPr>
        <xdr:cNvPr id="1266" name="WBTOTAL_OUT">
          <a:extLst>
            <a:ext uri="{FF2B5EF4-FFF2-40B4-BE49-F238E27FC236}">
              <a16:creationId xmlns:a16="http://schemas.microsoft.com/office/drawing/2014/main" id="{1F4CA06C-7430-4ABD-A361-CB888F59AD41}"/>
            </a:ext>
          </a:extLst>
        </xdr:cNvPr>
        <xdr:cNvSpPr txBox="1"/>
      </xdr:nvSpPr>
      <xdr:spPr>
        <a:xfrm>
          <a:off x="9588500" y="8556625"/>
          <a:ext cx="635000" cy="1079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600" b="1">
              <a:solidFill>
                <a:srgbClr val="90A84C"/>
              </a:solidFill>
            </a:rPr>
            <a:t>OUT: 557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3C335-412A-4240-A28C-5AB00408FFE4}">
  <sheetPr codeName="Sheet1">
    <pageSetUpPr fitToPage="1"/>
  </sheetPr>
  <dimension ref="A1:X71"/>
  <sheetViews>
    <sheetView showGridLines="0" tabSelected="1" view="pageLayout" zoomScaleNormal="100" workbookViewId="0">
      <selection activeCell="G7" sqref="G7"/>
    </sheetView>
  </sheetViews>
  <sheetFormatPr defaultRowHeight="15" x14ac:dyDescent="0.25"/>
  <cols>
    <col min="2" max="2" width="11.7109375" customWidth="1"/>
    <col min="3" max="22" width="5.5703125" customWidth="1"/>
  </cols>
  <sheetData>
    <row r="1" spans="1:23" x14ac:dyDescent="0.25">
      <c r="A1" t="s">
        <v>12</v>
      </c>
      <c r="B1" s="34">
        <v>4200004</v>
      </c>
    </row>
    <row r="2" spans="1:23" x14ac:dyDescent="0.25">
      <c r="A2" t="s">
        <v>13</v>
      </c>
      <c r="B2" s="35">
        <v>45202</v>
      </c>
    </row>
    <row r="3" spans="1:23" x14ac:dyDescent="0.25">
      <c r="A3" t="s">
        <v>14</v>
      </c>
      <c r="B3" s="34">
        <v>43.094859999999997</v>
      </c>
    </row>
    <row r="4" spans="1:23" x14ac:dyDescent="0.25">
      <c r="A4" t="s">
        <v>15</v>
      </c>
      <c r="B4" s="34">
        <v>-77.611429999999999</v>
      </c>
    </row>
    <row r="5" spans="1:23" x14ac:dyDescent="0.25">
      <c r="A5" s="7" t="s">
        <v>35</v>
      </c>
      <c r="B5" s="52">
        <f>INDEX(data!A:A,MATCH(MAX(data!S:S),data!S:S,0))</f>
        <v>0.45833333333333331</v>
      </c>
    </row>
    <row r="6" spans="1:23" x14ac:dyDescent="0.25">
      <c r="A6" s="24" t="s">
        <v>33</v>
      </c>
      <c r="B6" s="43">
        <v>0.45833333333333331</v>
      </c>
      <c r="C6" s="43"/>
      <c r="D6" s="2"/>
    </row>
    <row r="8" spans="1:23" x14ac:dyDescent="0.25">
      <c r="C8" s="48" t="s">
        <v>6</v>
      </c>
      <c r="D8" s="48"/>
      <c r="E8" s="48"/>
      <c r="F8" s="48"/>
      <c r="G8" s="48"/>
      <c r="H8" s="49" t="s">
        <v>7</v>
      </c>
      <c r="I8" s="49"/>
      <c r="J8" s="49"/>
      <c r="K8" s="49"/>
      <c r="L8" s="49"/>
      <c r="M8" s="50" t="s">
        <v>8</v>
      </c>
      <c r="N8" s="50"/>
      <c r="O8" s="50"/>
      <c r="P8" s="50"/>
      <c r="Q8" s="50"/>
      <c r="R8" s="44" t="s">
        <v>9</v>
      </c>
      <c r="S8" s="44"/>
      <c r="T8" s="44"/>
      <c r="U8" s="44"/>
      <c r="V8" s="44"/>
    </row>
    <row r="9" spans="1:23" x14ac:dyDescent="0.25">
      <c r="B9" s="16" t="s">
        <v>0</v>
      </c>
      <c r="C9" s="25" t="s">
        <v>1</v>
      </c>
      <c r="D9" s="25" t="s">
        <v>2</v>
      </c>
      <c r="E9" s="25" t="s">
        <v>3</v>
      </c>
      <c r="F9" s="25" t="s">
        <v>4</v>
      </c>
      <c r="G9" s="25" t="s">
        <v>5</v>
      </c>
      <c r="H9" s="25" t="s">
        <v>1</v>
      </c>
      <c r="I9" s="25" t="s">
        <v>2</v>
      </c>
      <c r="J9" s="25" t="s">
        <v>3</v>
      </c>
      <c r="K9" s="25" t="s">
        <v>4</v>
      </c>
      <c r="L9" s="25" t="s">
        <v>5</v>
      </c>
      <c r="M9" s="25" t="s">
        <v>1</v>
      </c>
      <c r="N9" s="25" t="s">
        <v>2</v>
      </c>
      <c r="O9" s="25" t="s">
        <v>3</v>
      </c>
      <c r="P9" s="25" t="s">
        <v>4</v>
      </c>
      <c r="Q9" s="25" t="s">
        <v>5</v>
      </c>
      <c r="R9" s="25" t="s">
        <v>1</v>
      </c>
      <c r="S9" s="25" t="s">
        <v>2</v>
      </c>
      <c r="T9" s="25" t="s">
        <v>3</v>
      </c>
      <c r="U9" s="25" t="s">
        <v>4</v>
      </c>
      <c r="V9" s="25" t="s">
        <v>5</v>
      </c>
    </row>
    <row r="10" spans="1:23" x14ac:dyDescent="0.25">
      <c r="B10" s="3">
        <f>B6</f>
        <v>0.45833333333333331</v>
      </c>
      <c r="C10" s="26">
        <f>_xlfn.IFNA(VLOOKUP(B10,data!$A$2:$Q$70,2,TRUE),0)</f>
        <v>6</v>
      </c>
      <c r="D10" s="26">
        <f>_xlfn.IFNA(VLOOKUP(B10,data!$A$2:$Q$70,3,TRUE),0)</f>
        <v>0</v>
      </c>
      <c r="E10" s="26">
        <f>_xlfn.IFNA(VLOOKUP(B10,data!$A$2:$Q$70,4,TRUE),0)</f>
        <v>1</v>
      </c>
      <c r="F10" s="26">
        <f>_xlfn.IFNA(VLOOKUP(B10,data!$A$2:$Q$70,5,TRUE),0)</f>
        <v>0</v>
      </c>
      <c r="G10" s="27">
        <f>_xlfn.IFNA(VLOOKUP(B10,data!$A$2:$W$70,20,TRUE),0)</f>
        <v>0</v>
      </c>
      <c r="H10" s="26">
        <f>_xlfn.IFNA(VLOOKUP($B10,data!$A$2:$Q$70,6,TRUE),0)</f>
        <v>1</v>
      </c>
      <c r="I10" s="26">
        <f>_xlfn.IFNA(VLOOKUP($B10,data!$A$2:$Q$70,7,TRUE),0)</f>
        <v>116</v>
      </c>
      <c r="J10" s="26">
        <f>_xlfn.IFNA(VLOOKUP($B10,data!$A$2:$Q$70,8,TRUE),0)</f>
        <v>0</v>
      </c>
      <c r="K10" s="26">
        <f>_xlfn.IFNA(VLOOKUP($B10,data!$A$2:$Q$70,9,TRUE),0)</f>
        <v>0</v>
      </c>
      <c r="L10" s="27">
        <f>_xlfn.IFNA(VLOOKUP($B10,data!$A$2:$W$70,21,TRUE),0)</f>
        <v>0</v>
      </c>
      <c r="M10" s="26">
        <f>_xlfn.IFNA(VLOOKUP($B10,data!$A$2:$Q$70,10,TRUE),0)</f>
        <v>0</v>
      </c>
      <c r="N10" s="26">
        <f>_xlfn.IFNA(VLOOKUP($B10,data!$A$2:$Q$70,11,TRUE),0)</f>
        <v>0</v>
      </c>
      <c r="O10" s="26">
        <f>_xlfn.IFNA(VLOOKUP($B10,data!$A$2:$Q$70,12,TRUE),0)</f>
        <v>0</v>
      </c>
      <c r="P10" s="26">
        <f>_xlfn.IFNA(VLOOKUP($B10,data!$A$2:$Q$70,13,TRUE),0)</f>
        <v>0</v>
      </c>
      <c r="Q10" s="27">
        <f>_xlfn.IFNA(VLOOKUP($B10,data!$A$2:$W$70,22,TRUE),0)</f>
        <v>0</v>
      </c>
      <c r="R10" s="26">
        <f>_xlfn.IFNA(VLOOKUP($B10,data!$A$2:$Q$70,14,TRUE),0)</f>
        <v>0</v>
      </c>
      <c r="S10" s="26">
        <f>_xlfn.IFNA(VLOOKUP($B10,data!$A$2:$Q$70,15,TRUE),0)</f>
        <v>123</v>
      </c>
      <c r="T10" s="26">
        <f>_xlfn.IFNA(VLOOKUP($B10,data!$A$2:$Q$70,16,TRUE),0)</f>
        <v>6</v>
      </c>
      <c r="U10" s="26">
        <f>_xlfn.IFNA(VLOOKUP($B10,data!$A$2:$Q$70,17,TRUE),0)</f>
        <v>0</v>
      </c>
      <c r="V10" s="27">
        <f>_xlfn.IFNA(VLOOKUP($B10,data!$A$2:$W$70,23,TRUE),0)</f>
        <v>0</v>
      </c>
    </row>
    <row r="11" spans="1:23" x14ac:dyDescent="0.25">
      <c r="B11" s="4">
        <f>B10+TIME(0,15,0)</f>
        <v>0.46875</v>
      </c>
      <c r="C11" s="26">
        <f>_xlfn.IFNA(VLOOKUP(B11,data!$A$2:$Q$70,2,TRUE),0)</f>
        <v>3</v>
      </c>
      <c r="D11" s="26">
        <f>_xlfn.IFNA(VLOOKUP(B11,data!$A$2:$Q$70,3,TRUE),0)</f>
        <v>0</v>
      </c>
      <c r="E11" s="26">
        <f>_xlfn.IFNA(VLOOKUP(B11,data!$A$2:$Q$70,4,TRUE),0)</f>
        <v>1</v>
      </c>
      <c r="F11" s="26">
        <f>_xlfn.IFNA(VLOOKUP(B11,data!$A$2:$Q$70,5,TRUE),0)</f>
        <v>0</v>
      </c>
      <c r="G11" s="28">
        <f>_xlfn.IFNA(VLOOKUP(B11,data!$A$2:$W$70,20,TRUE),0)</f>
        <v>0</v>
      </c>
      <c r="H11" s="26">
        <f>_xlfn.IFNA(VLOOKUP($B11,data!$A$2:$Q$70,6,TRUE),0)</f>
        <v>5</v>
      </c>
      <c r="I11" s="26">
        <f>_xlfn.IFNA(VLOOKUP($B11,data!$A$2:$Q$70,7,TRUE),0)</f>
        <v>141</v>
      </c>
      <c r="J11" s="26">
        <f>_xlfn.IFNA(VLOOKUP($B11,data!$A$2:$Q$70,8,TRUE),0)</f>
        <v>0</v>
      </c>
      <c r="K11" s="26">
        <f>_xlfn.IFNA(VLOOKUP($B11,data!$A$2:$Q$70,9,TRUE),0)</f>
        <v>0</v>
      </c>
      <c r="L11" s="28">
        <f>_xlfn.IFNA(VLOOKUP($B11,data!$A$2:$W$70,21,TRUE),0)</f>
        <v>0</v>
      </c>
      <c r="M11" s="26">
        <f>_xlfn.IFNA(VLOOKUP($B11,data!$A$2:$Q$70,10,TRUE),0)</f>
        <v>0</v>
      </c>
      <c r="N11" s="26">
        <f>_xlfn.IFNA(VLOOKUP($B11,data!$A$2:$Q$70,11,TRUE),0)</f>
        <v>0</v>
      </c>
      <c r="O11" s="26">
        <f>_xlfn.IFNA(VLOOKUP($B11,data!$A$2:$Q$70,12,TRUE),0)</f>
        <v>0</v>
      </c>
      <c r="P11" s="26">
        <f>_xlfn.IFNA(VLOOKUP($B11,data!$A$2:$Q$70,13,TRUE),0)</f>
        <v>0</v>
      </c>
      <c r="Q11" s="28">
        <f>_xlfn.IFNA(VLOOKUP($B11,data!$A$2:$W$70,22,TRUE),0)</f>
        <v>0</v>
      </c>
      <c r="R11" s="26">
        <f>_xlfn.IFNA(VLOOKUP($B11,data!$A$2:$Q$70,14,TRUE),0)</f>
        <v>0</v>
      </c>
      <c r="S11" s="26">
        <f>_xlfn.IFNA(VLOOKUP($B11,data!$A$2:$Q$70,15,TRUE),0)</f>
        <v>117</v>
      </c>
      <c r="T11" s="26">
        <f>_xlfn.IFNA(VLOOKUP($B11,data!$A$2:$Q$70,16,TRUE),0)</f>
        <v>7</v>
      </c>
      <c r="U11" s="26">
        <f>_xlfn.IFNA(VLOOKUP($B11,data!$A$2:$Q$70,17,TRUE),0)</f>
        <v>0</v>
      </c>
      <c r="V11" s="28">
        <f>_xlfn.IFNA(VLOOKUP($B11,data!$A$2:$W$70,23,TRUE),0)</f>
        <v>0</v>
      </c>
    </row>
    <row r="12" spans="1:23" x14ac:dyDescent="0.25">
      <c r="B12" s="4">
        <f>B11+TIME(0,15,0)</f>
        <v>0.47916666666666669</v>
      </c>
      <c r="C12" s="26">
        <f>_xlfn.IFNA(VLOOKUP(B12,data!$A$2:$Q$70,2,TRUE),0)</f>
        <v>14</v>
      </c>
      <c r="D12" s="26">
        <f>_xlfn.IFNA(VLOOKUP(B12,data!$A$2:$Q$70,3,TRUE),0)</f>
        <v>0</v>
      </c>
      <c r="E12" s="26">
        <f>_xlfn.IFNA(VLOOKUP(B12,data!$A$2:$Q$70,4,TRUE),0)</f>
        <v>0</v>
      </c>
      <c r="F12" s="26">
        <f>_xlfn.IFNA(VLOOKUP(B12,data!$A$2:$Q$70,5,TRUE),0)</f>
        <v>0</v>
      </c>
      <c r="G12" s="28">
        <f>_xlfn.IFNA(VLOOKUP(B12,data!$A$2:$W$70,20,TRUE),0)</f>
        <v>0</v>
      </c>
      <c r="H12" s="26">
        <f>_xlfn.IFNA(VLOOKUP($B12,data!$A$2:$Q$70,6,TRUE),0)</f>
        <v>2</v>
      </c>
      <c r="I12" s="26">
        <f>_xlfn.IFNA(VLOOKUP($B12,data!$A$2:$Q$70,7,TRUE),0)</f>
        <v>131</v>
      </c>
      <c r="J12" s="26">
        <f>_xlfn.IFNA(VLOOKUP($B12,data!$A$2:$Q$70,8,TRUE),0)</f>
        <v>0</v>
      </c>
      <c r="K12" s="26">
        <f>_xlfn.IFNA(VLOOKUP($B12,data!$A$2:$Q$70,9,TRUE),0)</f>
        <v>0</v>
      </c>
      <c r="L12" s="28">
        <f>_xlfn.IFNA(VLOOKUP($B12,data!$A$2:$W$70,21,TRUE),0)</f>
        <v>0</v>
      </c>
      <c r="M12" s="26">
        <f>_xlfn.IFNA(VLOOKUP($B12,data!$A$2:$Q$70,10,TRUE),0)</f>
        <v>0</v>
      </c>
      <c r="N12" s="26">
        <f>_xlfn.IFNA(VLOOKUP($B12,data!$A$2:$Q$70,11,TRUE),0)</f>
        <v>0</v>
      </c>
      <c r="O12" s="26">
        <f>_xlfn.IFNA(VLOOKUP($B12,data!$A$2:$Q$70,12,TRUE),0)</f>
        <v>0</v>
      </c>
      <c r="P12" s="26">
        <f>_xlfn.IFNA(VLOOKUP($B12,data!$A$2:$Q$70,13,TRUE),0)</f>
        <v>0</v>
      </c>
      <c r="Q12" s="28">
        <f>_xlfn.IFNA(VLOOKUP($B12,data!$A$2:$W$70,22,TRUE),0)</f>
        <v>0</v>
      </c>
      <c r="R12" s="26">
        <f>_xlfn.IFNA(VLOOKUP($B12,data!$A$2:$Q$70,14,TRUE),0)</f>
        <v>0</v>
      </c>
      <c r="S12" s="26">
        <f>_xlfn.IFNA(VLOOKUP($B12,data!$A$2:$Q$70,15,TRUE),0)</f>
        <v>137</v>
      </c>
      <c r="T12" s="26">
        <f>_xlfn.IFNA(VLOOKUP($B12,data!$A$2:$Q$70,16,TRUE),0)</f>
        <v>5</v>
      </c>
      <c r="U12" s="26">
        <f>_xlfn.IFNA(VLOOKUP($B12,data!$A$2:$Q$70,17,TRUE),0)</f>
        <v>0</v>
      </c>
      <c r="V12" s="28">
        <f>_xlfn.IFNA(VLOOKUP($B12,data!$A$2:$W$70,23,TRUE),0)</f>
        <v>0</v>
      </c>
    </row>
    <row r="13" spans="1:23" ht="15.75" thickBot="1" x14ac:dyDescent="0.3">
      <c r="B13" s="4">
        <f>B12+TIME(0,15,0)</f>
        <v>0.48958333333333337</v>
      </c>
      <c r="C13" s="29">
        <f>_xlfn.IFNA(VLOOKUP(B13,data!$A$2:$Q$70,2,TRUE),0)</f>
        <v>12</v>
      </c>
      <c r="D13" s="29">
        <f>_xlfn.IFNA(VLOOKUP(B13,data!$A$2:$Q$70,3,TRUE),0)</f>
        <v>0</v>
      </c>
      <c r="E13" s="29">
        <f>_xlfn.IFNA(VLOOKUP(B13,data!$A$2:$Q$70,4,TRUE),0)</f>
        <v>3</v>
      </c>
      <c r="F13" s="29">
        <f>_xlfn.IFNA(VLOOKUP(B13,data!$A$2:$Q$70,5,TRUE),0)</f>
        <v>0</v>
      </c>
      <c r="G13" s="30">
        <f>_xlfn.IFNA(VLOOKUP(B13,data!$A$2:$W$70,20,TRUE),0)</f>
        <v>0</v>
      </c>
      <c r="H13" s="29">
        <f>_xlfn.IFNA(VLOOKUP($B13,data!$A$2:$Q$70,6,TRUE),0)</f>
        <v>3</v>
      </c>
      <c r="I13" s="29">
        <f>_xlfn.IFNA(VLOOKUP($B13,data!$A$2:$Q$70,7,TRUE),0)</f>
        <v>129</v>
      </c>
      <c r="J13" s="29">
        <f>_xlfn.IFNA(VLOOKUP($B13,data!$A$2:$Q$70,8,TRUE),0)</f>
        <v>0</v>
      </c>
      <c r="K13" s="29">
        <f>_xlfn.IFNA(VLOOKUP($B13,data!$A$2:$Q$70,9,TRUE),0)</f>
        <v>0</v>
      </c>
      <c r="L13" s="30">
        <f>_xlfn.IFNA(VLOOKUP($B13,data!$A$2:$W$70,21,TRUE),0)</f>
        <v>0</v>
      </c>
      <c r="M13" s="29">
        <f>_xlfn.IFNA(VLOOKUP($B13,data!$A$2:$Q$70,10,TRUE),0)</f>
        <v>0</v>
      </c>
      <c r="N13" s="29">
        <f>_xlfn.IFNA(VLOOKUP($B13,data!$A$2:$Q$70,11,TRUE),0)</f>
        <v>0</v>
      </c>
      <c r="O13" s="29">
        <f>_xlfn.IFNA(VLOOKUP($B13,data!$A$2:$Q$70,12,TRUE),0)</f>
        <v>0</v>
      </c>
      <c r="P13" s="29">
        <f>_xlfn.IFNA(VLOOKUP($B13,data!$A$2:$Q$70,13,TRUE),0)</f>
        <v>0</v>
      </c>
      <c r="Q13" s="30">
        <f>_xlfn.IFNA(VLOOKUP($B13,data!$A$2:$W$70,22,TRUE),0)</f>
        <v>0</v>
      </c>
      <c r="R13" s="29">
        <f>_xlfn.IFNA(VLOOKUP($B13,data!$A$2:$Q$70,14,TRUE),0)</f>
        <v>0</v>
      </c>
      <c r="S13" s="29">
        <f>_xlfn.IFNA(VLOOKUP($B13,data!$A$2:$Q$70,15,TRUE),0)</f>
        <v>151</v>
      </c>
      <c r="T13" s="29">
        <f>_xlfn.IFNA(VLOOKUP($B13,data!$A$2:$Q$70,16,TRUE),0)</f>
        <v>11</v>
      </c>
      <c r="U13" s="29">
        <f>_xlfn.IFNA(VLOOKUP($B13,data!$A$2:$Q$70,17,TRUE),0)</f>
        <v>0</v>
      </c>
      <c r="V13" s="30">
        <f>_xlfn.IFNA(VLOOKUP($B13,data!$A$2:$W$70,23,TRUE),0)</f>
        <v>0</v>
      </c>
    </row>
    <row r="14" spans="1:23" ht="15.75" thickTop="1" x14ac:dyDescent="0.25">
      <c r="B14" s="15" t="s">
        <v>10</v>
      </c>
      <c r="C14" s="5">
        <f>SUM(C10:C13)</f>
        <v>35</v>
      </c>
      <c r="D14" s="5">
        <f t="shared" ref="D14:V14" si="0">SUM(D10:D13)</f>
        <v>0</v>
      </c>
      <c r="E14" s="5">
        <f t="shared" si="0"/>
        <v>5</v>
      </c>
      <c r="F14" s="5">
        <f t="shared" si="0"/>
        <v>0</v>
      </c>
      <c r="G14" s="31">
        <f t="shared" si="0"/>
        <v>0</v>
      </c>
      <c r="H14" s="5">
        <f t="shared" si="0"/>
        <v>11</v>
      </c>
      <c r="I14" s="5">
        <f t="shared" si="0"/>
        <v>517</v>
      </c>
      <c r="J14" s="5">
        <f t="shared" si="0"/>
        <v>0</v>
      </c>
      <c r="K14" s="5">
        <f t="shared" si="0"/>
        <v>0</v>
      </c>
      <c r="L14" s="31">
        <f t="shared" si="0"/>
        <v>0</v>
      </c>
      <c r="M14" s="5">
        <f t="shared" si="0"/>
        <v>0</v>
      </c>
      <c r="N14" s="5">
        <f t="shared" si="0"/>
        <v>0</v>
      </c>
      <c r="O14" s="5">
        <f t="shared" si="0"/>
        <v>0</v>
      </c>
      <c r="P14" s="5">
        <f t="shared" si="0"/>
        <v>0</v>
      </c>
      <c r="Q14" s="31">
        <f t="shared" si="0"/>
        <v>0</v>
      </c>
      <c r="R14" s="5">
        <f t="shared" si="0"/>
        <v>0</v>
      </c>
      <c r="S14" s="5">
        <f t="shared" si="0"/>
        <v>528</v>
      </c>
      <c r="T14" s="5">
        <f t="shared" si="0"/>
        <v>29</v>
      </c>
      <c r="U14" s="5">
        <f t="shared" si="0"/>
        <v>0</v>
      </c>
      <c r="V14" s="31">
        <f t="shared" si="0"/>
        <v>0</v>
      </c>
      <c r="W14" s="1"/>
    </row>
    <row r="15" spans="1:23" x14ac:dyDescent="0.25">
      <c r="B15" s="17" t="s">
        <v>32</v>
      </c>
      <c r="C15" s="5">
        <f>IF(C14 &gt; 0,(SUM(C10:C13)/(MAX(C10,C11,C12,C13)*4)), 0)</f>
        <v>0.625</v>
      </c>
      <c r="D15" s="5">
        <f t="shared" ref="D15:V15" si="1">IF(D14 &gt; 0,(SUM(D10:D13)/(MAX(D10,D11,D12,D13)*4)), 0)</f>
        <v>0</v>
      </c>
      <c r="E15" s="5">
        <f t="shared" si="1"/>
        <v>0.41666666666666669</v>
      </c>
      <c r="F15" s="5">
        <f t="shared" si="1"/>
        <v>0</v>
      </c>
      <c r="G15" s="32">
        <f t="shared" si="1"/>
        <v>0</v>
      </c>
      <c r="H15" s="5">
        <f t="shared" si="1"/>
        <v>0.55000000000000004</v>
      </c>
      <c r="I15" s="5">
        <f t="shared" si="1"/>
        <v>0.91666666666666663</v>
      </c>
      <c r="J15" s="5">
        <f t="shared" si="1"/>
        <v>0</v>
      </c>
      <c r="K15" s="5">
        <f t="shared" si="1"/>
        <v>0</v>
      </c>
      <c r="L15" s="32">
        <f t="shared" si="1"/>
        <v>0</v>
      </c>
      <c r="M15" s="5">
        <f t="shared" si="1"/>
        <v>0</v>
      </c>
      <c r="N15" s="5">
        <f t="shared" si="1"/>
        <v>0</v>
      </c>
      <c r="O15" s="5">
        <f t="shared" si="1"/>
        <v>0</v>
      </c>
      <c r="P15" s="5">
        <f t="shared" si="1"/>
        <v>0</v>
      </c>
      <c r="Q15" s="32">
        <f t="shared" si="1"/>
        <v>0</v>
      </c>
      <c r="R15" s="5">
        <f t="shared" si="1"/>
        <v>0</v>
      </c>
      <c r="S15" s="5">
        <f t="shared" si="1"/>
        <v>0.8741721854304636</v>
      </c>
      <c r="T15" s="5">
        <f t="shared" si="1"/>
        <v>0.65909090909090906</v>
      </c>
      <c r="U15" s="5">
        <f t="shared" si="1"/>
        <v>0</v>
      </c>
      <c r="V15" s="32">
        <f t="shared" si="1"/>
        <v>0</v>
      </c>
      <c r="W15" s="1"/>
    </row>
    <row r="16" spans="1:23" x14ac:dyDescent="0.25">
      <c r="B16" s="2"/>
      <c r="C16" s="1"/>
    </row>
    <row r="17" spans="2:22" x14ac:dyDescent="0.25">
      <c r="B17" s="2"/>
    </row>
    <row r="18" spans="2:22" x14ac:dyDescent="0.25">
      <c r="B18" s="2"/>
    </row>
    <row r="19" spans="2:22" x14ac:dyDescent="0.25">
      <c r="B19" s="2"/>
    </row>
    <row r="20" spans="2:22" x14ac:dyDescent="0.25">
      <c r="B20" s="22"/>
      <c r="C20" s="23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2:22" ht="18.75" x14ac:dyDescent="0.3">
      <c r="B21" s="22"/>
      <c r="U21" s="36" t="s">
        <v>11</v>
      </c>
    </row>
    <row r="24" spans="2:22" ht="18.75" x14ac:dyDescent="0.3">
      <c r="H24" s="9"/>
      <c r="I24" s="33"/>
      <c r="J24" s="33"/>
      <c r="K24" s="9"/>
      <c r="L24" s="33"/>
      <c r="M24" s="33"/>
    </row>
    <row r="29" spans="2:22" x14ac:dyDescent="0.25">
      <c r="I29" s="18"/>
      <c r="J29" s="18"/>
      <c r="K29" s="18"/>
      <c r="M29" s="18"/>
    </row>
    <row r="30" spans="2:22" x14ac:dyDescent="0.25">
      <c r="I30" s="18"/>
      <c r="J30" s="18"/>
      <c r="K30" s="18"/>
      <c r="M30" s="18"/>
    </row>
    <row r="31" spans="2:22" x14ac:dyDescent="0.25">
      <c r="I31" s="18"/>
      <c r="J31" s="18"/>
      <c r="K31" s="18"/>
      <c r="M31" s="18"/>
    </row>
    <row r="32" spans="2:22" x14ac:dyDescent="0.25">
      <c r="I32" s="18"/>
      <c r="J32" s="18"/>
      <c r="K32" s="18"/>
      <c r="M32" s="18"/>
    </row>
    <row r="44" spans="1:24" ht="14.25" customHeight="1" x14ac:dyDescent="0.25">
      <c r="A44" s="13"/>
    </row>
    <row r="45" spans="1:24" ht="18" customHeight="1" x14ac:dyDescent="0.3">
      <c r="A45" s="14"/>
      <c r="B45" s="21"/>
      <c r="C45" s="21"/>
      <c r="D45" s="21"/>
      <c r="T45" s="45"/>
      <c r="U45" s="45"/>
      <c r="W45" s="10"/>
      <c r="X45" s="11"/>
    </row>
    <row r="46" spans="1:24" x14ac:dyDescent="0.25">
      <c r="W46" s="10"/>
    </row>
    <row r="47" spans="1:24" ht="15.75" x14ac:dyDescent="0.25">
      <c r="A47" s="13"/>
      <c r="W47" s="10"/>
    </row>
    <row r="48" spans="1:24" ht="18.75" x14ac:dyDescent="0.3">
      <c r="A48" s="14"/>
      <c r="B48" s="21"/>
      <c r="C48" s="21"/>
      <c r="D48" s="21"/>
      <c r="T48" s="46"/>
      <c r="U48" s="46"/>
      <c r="W48" s="10"/>
      <c r="X48" s="11"/>
    </row>
    <row r="51" spans="2:21" ht="18.75" x14ac:dyDescent="0.3">
      <c r="B51" s="21"/>
      <c r="C51" s="21"/>
      <c r="D51" s="21"/>
      <c r="T51" s="47"/>
      <c r="U51" s="47"/>
    </row>
    <row r="64" spans="2:21" x14ac:dyDescent="0.25">
      <c r="J64" s="18"/>
      <c r="K64" s="18"/>
      <c r="L64" s="19"/>
      <c r="N64" s="18"/>
    </row>
    <row r="65" spans="7:14" x14ac:dyDescent="0.25">
      <c r="I65" s="18"/>
      <c r="J65" s="18"/>
      <c r="K65" s="18"/>
      <c r="L65" s="19"/>
      <c r="N65" s="18"/>
    </row>
    <row r="66" spans="7:14" x14ac:dyDescent="0.25">
      <c r="G66" s="6"/>
      <c r="I66" s="18"/>
      <c r="J66" s="18"/>
      <c r="K66" s="18"/>
      <c r="L66" s="19"/>
      <c r="N66" s="18"/>
    </row>
    <row r="67" spans="7:14" x14ac:dyDescent="0.25">
      <c r="G67" s="6"/>
      <c r="I67" s="18"/>
      <c r="J67" s="18"/>
      <c r="K67" s="18"/>
      <c r="L67" s="19"/>
      <c r="N67" s="18"/>
    </row>
    <row r="68" spans="7:14" x14ac:dyDescent="0.25">
      <c r="G68" s="6"/>
      <c r="H68" s="7"/>
      <c r="I68" s="8"/>
      <c r="J68" s="8"/>
    </row>
    <row r="71" spans="7:14" ht="18.75" x14ac:dyDescent="0.3">
      <c r="H71" s="12"/>
      <c r="I71" s="20"/>
      <c r="J71" s="20"/>
      <c r="K71" s="12"/>
      <c r="L71" s="20"/>
      <c r="M71" s="20"/>
    </row>
  </sheetData>
  <mergeCells count="8">
    <mergeCell ref="B6:C6"/>
    <mergeCell ref="R8:V8"/>
    <mergeCell ref="T45:U45"/>
    <mergeCell ref="T48:U48"/>
    <mergeCell ref="T51:U51"/>
    <mergeCell ref="C8:G8"/>
    <mergeCell ref="H8:L8"/>
    <mergeCell ref="M8:Q8"/>
  </mergeCells>
  <dataValidations count="1">
    <dataValidation type="list" allowBlank="1" showInputMessage="1" showErrorMessage="1" sqref="B6" xr:uid="{98C3F99B-F1FF-4848-B92A-BD4A709D46A6}">
      <formula1>INDIRECT("Start_Time")</formula1>
    </dataValidation>
  </dataValidations>
  <pageMargins left="0.25" right="0.25" top="0.75" bottom="0.75" header="0.3" footer="0.3"/>
  <pageSetup scale="6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54717-6936-45DB-8C09-6DEF66A3722E}">
  <sheetPr codeName="Sheet2"/>
  <dimension ref="A1:X131"/>
  <sheetViews>
    <sheetView workbookViewId="0">
      <selection activeCell="B2" sqref="B2:Q5"/>
    </sheetView>
  </sheetViews>
  <sheetFormatPr defaultRowHeight="15" x14ac:dyDescent="0.25"/>
  <cols>
    <col min="1" max="1" width="20.140625" customWidth="1"/>
    <col min="2" max="2" width="5.7109375" style="37" customWidth="1"/>
    <col min="3" max="17" width="5.7109375" customWidth="1"/>
    <col min="18" max="19" width="9.140625" style="41"/>
  </cols>
  <sheetData>
    <row r="1" spans="1:24" x14ac:dyDescent="0.25">
      <c r="A1" s="7" t="s">
        <v>0</v>
      </c>
      <c r="B1" s="39" t="s">
        <v>16</v>
      </c>
      <c r="C1" s="7" t="s">
        <v>17</v>
      </c>
      <c r="D1" s="7" t="s">
        <v>18</v>
      </c>
      <c r="E1" s="7" t="s">
        <v>19</v>
      </c>
      <c r="F1" s="7" t="s">
        <v>20</v>
      </c>
      <c r="G1" s="7" t="s">
        <v>21</v>
      </c>
      <c r="H1" s="7" t="s">
        <v>22</v>
      </c>
      <c r="I1" s="7" t="s">
        <v>23</v>
      </c>
      <c r="J1" s="7" t="s">
        <v>24</v>
      </c>
      <c r="K1" s="7" t="s">
        <v>25</v>
      </c>
      <c r="L1" s="7" t="s">
        <v>26</v>
      </c>
      <c r="M1" s="7" t="s">
        <v>27</v>
      </c>
      <c r="N1" s="7" t="s">
        <v>28</v>
      </c>
      <c r="O1" s="7" t="s">
        <v>29</v>
      </c>
      <c r="P1" s="7" t="s">
        <v>30</v>
      </c>
      <c r="Q1" s="7" t="s">
        <v>31</v>
      </c>
      <c r="R1" s="51" t="s">
        <v>34</v>
      </c>
      <c r="S1" s="51"/>
      <c r="T1" s="7" t="s">
        <v>36</v>
      </c>
      <c r="U1" s="7" t="s">
        <v>37</v>
      </c>
      <c r="V1" s="7" t="s">
        <v>38</v>
      </c>
      <c r="W1" s="7" t="s">
        <v>39</v>
      </c>
      <c r="X1" s="7"/>
    </row>
    <row r="2" spans="1:24" x14ac:dyDescent="0.25">
      <c r="A2" s="2">
        <v>0.45833333333333331</v>
      </c>
      <c r="B2" s="38">
        <v>6</v>
      </c>
      <c r="C2">
        <v>0</v>
      </c>
      <c r="D2">
        <v>1</v>
      </c>
      <c r="E2">
        <v>0</v>
      </c>
      <c r="F2">
        <v>1</v>
      </c>
      <c r="G2">
        <v>116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123</v>
      </c>
      <c r="P2">
        <v>6</v>
      </c>
      <c r="Q2">
        <v>0</v>
      </c>
      <c r="R2" s="40">
        <f>SUM(B2:Q2)</f>
        <v>253</v>
      </c>
      <c r="S2" s="40">
        <f>SUM(R2:R5)</f>
        <v>1125</v>
      </c>
      <c r="T2">
        <v>0</v>
      </c>
      <c r="U2">
        <v>0</v>
      </c>
      <c r="V2">
        <v>0</v>
      </c>
      <c r="W2">
        <v>0</v>
      </c>
    </row>
    <row r="3" spans="1:24" x14ac:dyDescent="0.25">
      <c r="A3" s="2">
        <v>0.46875</v>
      </c>
      <c r="B3" s="38">
        <v>3</v>
      </c>
      <c r="C3">
        <v>0</v>
      </c>
      <c r="D3">
        <v>1</v>
      </c>
      <c r="E3">
        <v>0</v>
      </c>
      <c r="F3">
        <v>5</v>
      </c>
      <c r="G3">
        <v>141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117</v>
      </c>
      <c r="P3">
        <v>7</v>
      </c>
      <c r="Q3">
        <v>0</v>
      </c>
      <c r="R3" s="41">
        <f t="shared" ref="R3:R22" si="0">SUM(B3:Q3)</f>
        <v>274</v>
      </c>
      <c r="S3" s="41">
        <f>SUM(R3:R6)</f>
        <v>872</v>
      </c>
      <c r="T3">
        <v>0</v>
      </c>
      <c r="U3">
        <v>0</v>
      </c>
      <c r="V3">
        <v>0</v>
      </c>
      <c r="W3">
        <v>0</v>
      </c>
    </row>
    <row r="4" spans="1:24" x14ac:dyDescent="0.25">
      <c r="A4" s="2">
        <v>0.47916666666666669</v>
      </c>
      <c r="B4" s="38">
        <v>14</v>
      </c>
      <c r="C4">
        <v>0</v>
      </c>
      <c r="D4">
        <v>0</v>
      </c>
      <c r="E4">
        <v>0</v>
      </c>
      <c r="F4">
        <v>2</v>
      </c>
      <c r="G4">
        <v>131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137</v>
      </c>
      <c r="P4">
        <v>5</v>
      </c>
      <c r="Q4">
        <v>0</v>
      </c>
      <c r="R4" s="41">
        <f t="shared" si="0"/>
        <v>289</v>
      </c>
      <c r="S4" s="41">
        <f>SUM(R4:R7)</f>
        <v>598</v>
      </c>
      <c r="T4">
        <v>0</v>
      </c>
      <c r="U4">
        <v>0</v>
      </c>
      <c r="V4">
        <v>0</v>
      </c>
      <c r="W4">
        <v>0</v>
      </c>
    </row>
    <row r="5" spans="1:24" x14ac:dyDescent="0.25">
      <c r="A5" s="2">
        <v>0.48958333333333331</v>
      </c>
      <c r="B5" s="38">
        <v>12</v>
      </c>
      <c r="C5">
        <v>0</v>
      </c>
      <c r="D5">
        <v>3</v>
      </c>
      <c r="E5">
        <v>0</v>
      </c>
      <c r="F5">
        <v>3</v>
      </c>
      <c r="G5">
        <v>129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151</v>
      </c>
      <c r="P5">
        <v>11</v>
      </c>
      <c r="Q5">
        <v>0</v>
      </c>
      <c r="R5" s="41">
        <f t="shared" si="0"/>
        <v>309</v>
      </c>
      <c r="S5" s="41">
        <f t="shared" ref="S5:S22" si="1">SUM(R5:R8)</f>
        <v>309</v>
      </c>
      <c r="T5">
        <v>0</v>
      </c>
      <c r="U5">
        <v>0</v>
      </c>
      <c r="V5">
        <v>0</v>
      </c>
      <c r="W5">
        <v>0</v>
      </c>
    </row>
    <row r="6" spans="1:24" x14ac:dyDescent="0.25">
      <c r="A6" s="2"/>
      <c r="R6" s="41">
        <f t="shared" si="0"/>
        <v>0</v>
      </c>
      <c r="S6" s="41">
        <f t="shared" si="1"/>
        <v>0</v>
      </c>
    </row>
    <row r="7" spans="1:24" x14ac:dyDescent="0.25">
      <c r="A7" s="2"/>
      <c r="R7" s="41">
        <f t="shared" si="0"/>
        <v>0</v>
      </c>
      <c r="S7" s="41">
        <f t="shared" si="1"/>
        <v>0</v>
      </c>
    </row>
    <row r="8" spans="1:24" x14ac:dyDescent="0.25">
      <c r="A8" s="2"/>
      <c r="R8" s="41">
        <f t="shared" si="0"/>
        <v>0</v>
      </c>
      <c r="S8" s="41">
        <f t="shared" si="1"/>
        <v>0</v>
      </c>
    </row>
    <row r="9" spans="1:24" x14ac:dyDescent="0.25">
      <c r="A9" s="2"/>
      <c r="R9" s="41">
        <f t="shared" si="0"/>
        <v>0</v>
      </c>
      <c r="S9" s="41">
        <f t="shared" si="1"/>
        <v>0</v>
      </c>
    </row>
    <row r="10" spans="1:24" x14ac:dyDescent="0.25">
      <c r="A10" s="2"/>
      <c r="R10" s="41">
        <f t="shared" si="0"/>
        <v>0</v>
      </c>
      <c r="S10" s="41">
        <f t="shared" si="1"/>
        <v>0</v>
      </c>
    </row>
    <row r="11" spans="1:24" x14ac:dyDescent="0.25">
      <c r="A11" s="2"/>
      <c r="R11" s="41">
        <f t="shared" si="0"/>
        <v>0</v>
      </c>
      <c r="S11" s="41">
        <f t="shared" si="1"/>
        <v>0</v>
      </c>
    </row>
    <row r="12" spans="1:24" x14ac:dyDescent="0.25">
      <c r="A12" s="2"/>
      <c r="B12" s="38"/>
      <c r="R12" s="41">
        <f t="shared" si="0"/>
        <v>0</v>
      </c>
      <c r="S12" s="41">
        <f t="shared" si="1"/>
        <v>0</v>
      </c>
    </row>
    <row r="13" spans="1:24" x14ac:dyDescent="0.25">
      <c r="A13" s="2"/>
      <c r="B13" s="38"/>
      <c r="R13" s="41">
        <f t="shared" si="0"/>
        <v>0</v>
      </c>
      <c r="S13" s="41">
        <f t="shared" si="1"/>
        <v>0</v>
      </c>
    </row>
    <row r="14" spans="1:24" x14ac:dyDescent="0.25">
      <c r="A14" s="2"/>
      <c r="B14" s="38"/>
      <c r="R14" s="41">
        <f t="shared" si="0"/>
        <v>0</v>
      </c>
      <c r="S14" s="41">
        <f t="shared" si="1"/>
        <v>0</v>
      </c>
    </row>
    <row r="15" spans="1:24" x14ac:dyDescent="0.25">
      <c r="A15" s="2"/>
      <c r="B15" s="38"/>
      <c r="R15" s="41">
        <f t="shared" si="0"/>
        <v>0</v>
      </c>
      <c r="S15" s="41">
        <f t="shared" si="1"/>
        <v>0</v>
      </c>
    </row>
    <row r="16" spans="1:24" x14ac:dyDescent="0.25">
      <c r="R16" s="41">
        <f t="shared" si="0"/>
        <v>0</v>
      </c>
      <c r="S16" s="41">
        <f t="shared" si="1"/>
        <v>0</v>
      </c>
    </row>
    <row r="17" spans="18:19" x14ac:dyDescent="0.25">
      <c r="R17" s="41">
        <f t="shared" si="0"/>
        <v>0</v>
      </c>
      <c r="S17" s="41">
        <f t="shared" si="1"/>
        <v>0</v>
      </c>
    </row>
    <row r="18" spans="18:19" x14ac:dyDescent="0.25">
      <c r="R18" s="41">
        <f t="shared" si="0"/>
        <v>0</v>
      </c>
      <c r="S18" s="41">
        <f t="shared" si="1"/>
        <v>0</v>
      </c>
    </row>
    <row r="19" spans="18:19" x14ac:dyDescent="0.25">
      <c r="R19" s="41">
        <f t="shared" si="0"/>
        <v>0</v>
      </c>
      <c r="S19" s="41">
        <f t="shared" si="1"/>
        <v>0</v>
      </c>
    </row>
    <row r="20" spans="18:19" x14ac:dyDescent="0.25">
      <c r="R20" s="42">
        <f>SUM(B20:Q20)</f>
        <v>0</v>
      </c>
      <c r="S20" s="42">
        <f>SUM(R20:R23)</f>
        <v>0</v>
      </c>
    </row>
    <row r="21" spans="18:19" x14ac:dyDescent="0.25">
      <c r="R21" s="41">
        <f t="shared" si="0"/>
        <v>0</v>
      </c>
      <c r="S21" s="41">
        <f t="shared" si="1"/>
        <v>0</v>
      </c>
    </row>
    <row r="22" spans="18:19" x14ac:dyDescent="0.25">
      <c r="R22" s="41">
        <f t="shared" si="0"/>
        <v>0</v>
      </c>
      <c r="S22" s="41">
        <f t="shared" si="1"/>
        <v>0</v>
      </c>
    </row>
    <row r="23" spans="18:19" x14ac:dyDescent="0.25">
      <c r="R23" s="41">
        <f t="shared" ref="R23:R86" si="2">SUM(B23:Q23)</f>
        <v>0</v>
      </c>
      <c r="S23" s="41">
        <f t="shared" ref="S23:S86" si="3">SUM(R23:R26)</f>
        <v>0</v>
      </c>
    </row>
    <row r="24" spans="18:19" x14ac:dyDescent="0.25">
      <c r="R24" s="41">
        <f t="shared" si="2"/>
        <v>0</v>
      </c>
      <c r="S24" s="41">
        <f t="shared" si="3"/>
        <v>0</v>
      </c>
    </row>
    <row r="25" spans="18:19" x14ac:dyDescent="0.25">
      <c r="R25" s="41">
        <f t="shared" si="2"/>
        <v>0</v>
      </c>
      <c r="S25" s="41">
        <f t="shared" si="3"/>
        <v>0</v>
      </c>
    </row>
    <row r="26" spans="18:19" x14ac:dyDescent="0.25">
      <c r="R26" s="41">
        <f t="shared" si="2"/>
        <v>0</v>
      </c>
      <c r="S26" s="41">
        <f t="shared" si="3"/>
        <v>0</v>
      </c>
    </row>
    <row r="27" spans="18:19" x14ac:dyDescent="0.25">
      <c r="R27" s="41">
        <f t="shared" si="2"/>
        <v>0</v>
      </c>
      <c r="S27" s="41">
        <f t="shared" si="3"/>
        <v>0</v>
      </c>
    </row>
    <row r="28" spans="18:19" x14ac:dyDescent="0.25">
      <c r="R28" s="41">
        <f t="shared" si="2"/>
        <v>0</v>
      </c>
      <c r="S28" s="41">
        <f t="shared" si="3"/>
        <v>0</v>
      </c>
    </row>
    <row r="29" spans="18:19" x14ac:dyDescent="0.25">
      <c r="R29" s="41">
        <f t="shared" si="2"/>
        <v>0</v>
      </c>
      <c r="S29" s="41">
        <f t="shared" si="3"/>
        <v>0</v>
      </c>
    </row>
    <row r="30" spans="18:19" x14ac:dyDescent="0.25">
      <c r="R30" s="41">
        <f t="shared" si="2"/>
        <v>0</v>
      </c>
      <c r="S30" s="41">
        <f t="shared" si="3"/>
        <v>0</v>
      </c>
    </row>
    <row r="31" spans="18:19" x14ac:dyDescent="0.25">
      <c r="R31" s="41">
        <f t="shared" si="2"/>
        <v>0</v>
      </c>
      <c r="S31" s="41">
        <f t="shared" si="3"/>
        <v>0</v>
      </c>
    </row>
    <row r="32" spans="18:19" x14ac:dyDescent="0.25">
      <c r="R32" s="41">
        <f t="shared" si="2"/>
        <v>0</v>
      </c>
      <c r="S32" s="41">
        <f t="shared" si="3"/>
        <v>0</v>
      </c>
    </row>
    <row r="33" spans="18:19" x14ac:dyDescent="0.25">
      <c r="R33" s="41">
        <f t="shared" si="2"/>
        <v>0</v>
      </c>
      <c r="S33" s="41">
        <f t="shared" si="3"/>
        <v>0</v>
      </c>
    </row>
    <row r="34" spans="18:19" x14ac:dyDescent="0.25">
      <c r="R34" s="41">
        <f t="shared" si="2"/>
        <v>0</v>
      </c>
      <c r="S34" s="41">
        <f t="shared" si="3"/>
        <v>0</v>
      </c>
    </row>
    <row r="35" spans="18:19" x14ac:dyDescent="0.25">
      <c r="R35" s="41">
        <f t="shared" si="2"/>
        <v>0</v>
      </c>
      <c r="S35" s="41">
        <f t="shared" si="3"/>
        <v>0</v>
      </c>
    </row>
    <row r="36" spans="18:19" x14ac:dyDescent="0.25">
      <c r="R36" s="41">
        <f t="shared" si="2"/>
        <v>0</v>
      </c>
      <c r="S36" s="41">
        <f t="shared" si="3"/>
        <v>0</v>
      </c>
    </row>
    <row r="37" spans="18:19" x14ac:dyDescent="0.25">
      <c r="R37" s="41">
        <f t="shared" si="2"/>
        <v>0</v>
      </c>
      <c r="S37" s="41">
        <f t="shared" si="3"/>
        <v>0</v>
      </c>
    </row>
    <row r="38" spans="18:19" x14ac:dyDescent="0.25">
      <c r="R38" s="41">
        <f t="shared" si="2"/>
        <v>0</v>
      </c>
      <c r="S38" s="41">
        <f t="shared" si="3"/>
        <v>0</v>
      </c>
    </row>
    <row r="39" spans="18:19" x14ac:dyDescent="0.25">
      <c r="R39" s="41">
        <f t="shared" si="2"/>
        <v>0</v>
      </c>
      <c r="S39" s="41">
        <f t="shared" si="3"/>
        <v>0</v>
      </c>
    </row>
    <row r="40" spans="18:19" x14ac:dyDescent="0.25">
      <c r="R40" s="41">
        <f t="shared" si="2"/>
        <v>0</v>
      </c>
      <c r="S40" s="41">
        <f t="shared" si="3"/>
        <v>0</v>
      </c>
    </row>
    <row r="41" spans="18:19" x14ac:dyDescent="0.25">
      <c r="R41" s="41">
        <f t="shared" si="2"/>
        <v>0</v>
      </c>
      <c r="S41" s="41">
        <f t="shared" si="3"/>
        <v>0</v>
      </c>
    </row>
    <row r="42" spans="18:19" x14ac:dyDescent="0.25">
      <c r="R42" s="41">
        <f t="shared" si="2"/>
        <v>0</v>
      </c>
      <c r="S42" s="41">
        <f t="shared" si="3"/>
        <v>0</v>
      </c>
    </row>
    <row r="43" spans="18:19" x14ac:dyDescent="0.25">
      <c r="R43" s="41">
        <f t="shared" si="2"/>
        <v>0</v>
      </c>
      <c r="S43" s="41">
        <f t="shared" si="3"/>
        <v>0</v>
      </c>
    </row>
    <row r="44" spans="18:19" x14ac:dyDescent="0.25">
      <c r="R44" s="41">
        <f t="shared" si="2"/>
        <v>0</v>
      </c>
      <c r="S44" s="41">
        <f t="shared" si="3"/>
        <v>0</v>
      </c>
    </row>
    <row r="45" spans="18:19" x14ac:dyDescent="0.25">
      <c r="R45" s="41">
        <f t="shared" si="2"/>
        <v>0</v>
      </c>
      <c r="S45" s="41">
        <f t="shared" si="3"/>
        <v>0</v>
      </c>
    </row>
    <row r="46" spans="18:19" x14ac:dyDescent="0.25">
      <c r="R46" s="41">
        <f t="shared" si="2"/>
        <v>0</v>
      </c>
      <c r="S46" s="41">
        <f t="shared" si="3"/>
        <v>0</v>
      </c>
    </row>
    <row r="47" spans="18:19" x14ac:dyDescent="0.25">
      <c r="R47" s="41">
        <f t="shared" si="2"/>
        <v>0</v>
      </c>
      <c r="S47" s="41">
        <f t="shared" si="3"/>
        <v>0</v>
      </c>
    </row>
    <row r="48" spans="18:19" x14ac:dyDescent="0.25">
      <c r="R48" s="41">
        <f t="shared" si="2"/>
        <v>0</v>
      </c>
      <c r="S48" s="41">
        <f t="shared" si="3"/>
        <v>0</v>
      </c>
    </row>
    <row r="49" spans="18:19" x14ac:dyDescent="0.25">
      <c r="R49" s="41">
        <f t="shared" si="2"/>
        <v>0</v>
      </c>
      <c r="S49" s="41">
        <f t="shared" si="3"/>
        <v>0</v>
      </c>
    </row>
    <row r="50" spans="18:19" x14ac:dyDescent="0.25">
      <c r="R50" s="41">
        <f t="shared" si="2"/>
        <v>0</v>
      </c>
      <c r="S50" s="41">
        <f t="shared" si="3"/>
        <v>0</v>
      </c>
    </row>
    <row r="51" spans="18:19" x14ac:dyDescent="0.25">
      <c r="R51" s="41">
        <f t="shared" si="2"/>
        <v>0</v>
      </c>
      <c r="S51" s="41">
        <f t="shared" si="3"/>
        <v>0</v>
      </c>
    </row>
    <row r="52" spans="18:19" x14ac:dyDescent="0.25">
      <c r="R52" s="41">
        <f t="shared" si="2"/>
        <v>0</v>
      </c>
      <c r="S52" s="41">
        <f t="shared" si="3"/>
        <v>0</v>
      </c>
    </row>
    <row r="53" spans="18:19" x14ac:dyDescent="0.25">
      <c r="R53" s="41">
        <f t="shared" si="2"/>
        <v>0</v>
      </c>
      <c r="S53" s="41">
        <f t="shared" si="3"/>
        <v>0</v>
      </c>
    </row>
    <row r="54" spans="18:19" x14ac:dyDescent="0.25">
      <c r="R54" s="41">
        <f t="shared" si="2"/>
        <v>0</v>
      </c>
      <c r="S54" s="41">
        <f t="shared" si="3"/>
        <v>0</v>
      </c>
    </row>
    <row r="55" spans="18:19" x14ac:dyDescent="0.25">
      <c r="R55" s="41">
        <f t="shared" si="2"/>
        <v>0</v>
      </c>
      <c r="S55" s="41">
        <f t="shared" si="3"/>
        <v>0</v>
      </c>
    </row>
    <row r="56" spans="18:19" x14ac:dyDescent="0.25">
      <c r="R56" s="41">
        <f t="shared" si="2"/>
        <v>0</v>
      </c>
      <c r="S56" s="41">
        <f t="shared" si="3"/>
        <v>0</v>
      </c>
    </row>
    <row r="57" spans="18:19" x14ac:dyDescent="0.25">
      <c r="R57" s="41">
        <f t="shared" si="2"/>
        <v>0</v>
      </c>
      <c r="S57" s="41">
        <f t="shared" si="3"/>
        <v>0</v>
      </c>
    </row>
    <row r="58" spans="18:19" x14ac:dyDescent="0.25">
      <c r="R58" s="41">
        <f t="shared" si="2"/>
        <v>0</v>
      </c>
      <c r="S58" s="41">
        <f t="shared" si="3"/>
        <v>0</v>
      </c>
    </row>
    <row r="59" spans="18:19" x14ac:dyDescent="0.25">
      <c r="R59" s="41">
        <f t="shared" si="2"/>
        <v>0</v>
      </c>
      <c r="S59" s="41">
        <f t="shared" si="3"/>
        <v>0</v>
      </c>
    </row>
    <row r="60" spans="18:19" x14ac:dyDescent="0.25">
      <c r="R60" s="41">
        <f t="shared" si="2"/>
        <v>0</v>
      </c>
      <c r="S60" s="41">
        <f t="shared" si="3"/>
        <v>0</v>
      </c>
    </row>
    <row r="61" spans="18:19" x14ac:dyDescent="0.25">
      <c r="R61" s="41">
        <f t="shared" si="2"/>
        <v>0</v>
      </c>
      <c r="S61" s="41">
        <f t="shared" si="3"/>
        <v>0</v>
      </c>
    </row>
    <row r="62" spans="18:19" x14ac:dyDescent="0.25">
      <c r="R62" s="41">
        <f t="shared" si="2"/>
        <v>0</v>
      </c>
      <c r="S62" s="41">
        <f t="shared" si="3"/>
        <v>0</v>
      </c>
    </row>
    <row r="63" spans="18:19" x14ac:dyDescent="0.25">
      <c r="R63" s="41">
        <f t="shared" si="2"/>
        <v>0</v>
      </c>
      <c r="S63" s="41">
        <f t="shared" si="3"/>
        <v>0</v>
      </c>
    </row>
    <row r="64" spans="18:19" x14ac:dyDescent="0.25">
      <c r="R64" s="41">
        <f t="shared" si="2"/>
        <v>0</v>
      </c>
      <c r="S64" s="41">
        <f t="shared" si="3"/>
        <v>0</v>
      </c>
    </row>
    <row r="65" spans="18:19" x14ac:dyDescent="0.25">
      <c r="R65" s="41">
        <f t="shared" si="2"/>
        <v>0</v>
      </c>
      <c r="S65" s="41">
        <f t="shared" si="3"/>
        <v>0</v>
      </c>
    </row>
    <row r="66" spans="18:19" x14ac:dyDescent="0.25">
      <c r="R66" s="41">
        <f t="shared" si="2"/>
        <v>0</v>
      </c>
      <c r="S66" s="41">
        <f t="shared" si="3"/>
        <v>0</v>
      </c>
    </row>
    <row r="67" spans="18:19" x14ac:dyDescent="0.25">
      <c r="R67" s="41">
        <f t="shared" si="2"/>
        <v>0</v>
      </c>
      <c r="S67" s="41">
        <f t="shared" si="3"/>
        <v>0</v>
      </c>
    </row>
    <row r="68" spans="18:19" x14ac:dyDescent="0.25">
      <c r="R68" s="41">
        <f t="shared" si="2"/>
        <v>0</v>
      </c>
      <c r="S68" s="41">
        <f t="shared" si="3"/>
        <v>0</v>
      </c>
    </row>
    <row r="69" spans="18:19" x14ac:dyDescent="0.25">
      <c r="R69" s="41">
        <f t="shared" si="2"/>
        <v>0</v>
      </c>
      <c r="S69" s="41">
        <f t="shared" si="3"/>
        <v>0</v>
      </c>
    </row>
    <row r="70" spans="18:19" x14ac:dyDescent="0.25">
      <c r="R70" s="41">
        <f t="shared" si="2"/>
        <v>0</v>
      </c>
      <c r="S70" s="41">
        <f t="shared" si="3"/>
        <v>0</v>
      </c>
    </row>
    <row r="71" spans="18:19" x14ac:dyDescent="0.25">
      <c r="R71" s="41">
        <f t="shared" si="2"/>
        <v>0</v>
      </c>
      <c r="S71" s="41">
        <f t="shared" si="3"/>
        <v>0</v>
      </c>
    </row>
    <row r="72" spans="18:19" x14ac:dyDescent="0.25">
      <c r="R72" s="41">
        <f t="shared" si="2"/>
        <v>0</v>
      </c>
      <c r="S72" s="41">
        <f t="shared" si="3"/>
        <v>0</v>
      </c>
    </row>
    <row r="73" spans="18:19" x14ac:dyDescent="0.25">
      <c r="R73" s="41">
        <f t="shared" si="2"/>
        <v>0</v>
      </c>
      <c r="S73" s="41">
        <f t="shared" si="3"/>
        <v>0</v>
      </c>
    </row>
    <row r="74" spans="18:19" x14ac:dyDescent="0.25">
      <c r="R74" s="41">
        <f t="shared" si="2"/>
        <v>0</v>
      </c>
      <c r="S74" s="41">
        <f t="shared" si="3"/>
        <v>0</v>
      </c>
    </row>
    <row r="75" spans="18:19" x14ac:dyDescent="0.25">
      <c r="R75" s="41">
        <f t="shared" si="2"/>
        <v>0</v>
      </c>
      <c r="S75" s="41">
        <f t="shared" si="3"/>
        <v>0</v>
      </c>
    </row>
    <row r="76" spans="18:19" x14ac:dyDescent="0.25">
      <c r="R76" s="41">
        <f t="shared" si="2"/>
        <v>0</v>
      </c>
      <c r="S76" s="41">
        <f t="shared" si="3"/>
        <v>0</v>
      </c>
    </row>
    <row r="77" spans="18:19" x14ac:dyDescent="0.25">
      <c r="R77" s="41">
        <f t="shared" si="2"/>
        <v>0</v>
      </c>
      <c r="S77" s="41">
        <f t="shared" si="3"/>
        <v>0</v>
      </c>
    </row>
    <row r="78" spans="18:19" x14ac:dyDescent="0.25">
      <c r="R78" s="41">
        <f t="shared" si="2"/>
        <v>0</v>
      </c>
      <c r="S78" s="41">
        <f t="shared" si="3"/>
        <v>0</v>
      </c>
    </row>
    <row r="79" spans="18:19" x14ac:dyDescent="0.25">
      <c r="R79" s="41">
        <f t="shared" si="2"/>
        <v>0</v>
      </c>
      <c r="S79" s="41">
        <f t="shared" si="3"/>
        <v>0</v>
      </c>
    </row>
    <row r="80" spans="18:19" x14ac:dyDescent="0.25">
      <c r="R80" s="41">
        <f t="shared" si="2"/>
        <v>0</v>
      </c>
      <c r="S80" s="41">
        <f t="shared" si="3"/>
        <v>0</v>
      </c>
    </row>
    <row r="81" spans="18:19" x14ac:dyDescent="0.25">
      <c r="R81" s="41">
        <f t="shared" si="2"/>
        <v>0</v>
      </c>
      <c r="S81" s="41">
        <f t="shared" si="3"/>
        <v>0</v>
      </c>
    </row>
    <row r="82" spans="18:19" x14ac:dyDescent="0.25">
      <c r="R82" s="41">
        <f t="shared" si="2"/>
        <v>0</v>
      </c>
      <c r="S82" s="41">
        <f t="shared" si="3"/>
        <v>0</v>
      </c>
    </row>
    <row r="83" spans="18:19" x14ac:dyDescent="0.25">
      <c r="R83" s="41">
        <f t="shared" si="2"/>
        <v>0</v>
      </c>
      <c r="S83" s="41">
        <f t="shared" si="3"/>
        <v>0</v>
      </c>
    </row>
    <row r="84" spans="18:19" x14ac:dyDescent="0.25">
      <c r="R84" s="41">
        <f t="shared" si="2"/>
        <v>0</v>
      </c>
      <c r="S84" s="41">
        <f t="shared" si="3"/>
        <v>0</v>
      </c>
    </row>
    <row r="85" spans="18:19" x14ac:dyDescent="0.25">
      <c r="R85" s="41">
        <f t="shared" si="2"/>
        <v>0</v>
      </c>
      <c r="S85" s="41">
        <f t="shared" si="3"/>
        <v>0</v>
      </c>
    </row>
    <row r="86" spans="18:19" x14ac:dyDescent="0.25">
      <c r="R86" s="41">
        <f t="shared" si="2"/>
        <v>0</v>
      </c>
      <c r="S86" s="41">
        <f t="shared" si="3"/>
        <v>0</v>
      </c>
    </row>
    <row r="87" spans="18:19" x14ac:dyDescent="0.25">
      <c r="R87" s="41">
        <f t="shared" ref="R87:R131" si="4">SUM(B87:Q87)</f>
        <v>0</v>
      </c>
      <c r="S87" s="41">
        <f t="shared" ref="S87:S131" si="5">SUM(R87:R90)</f>
        <v>0</v>
      </c>
    </row>
    <row r="88" spans="18:19" x14ac:dyDescent="0.25">
      <c r="R88" s="41">
        <f t="shared" si="4"/>
        <v>0</v>
      </c>
      <c r="S88" s="41">
        <f t="shared" si="5"/>
        <v>0</v>
      </c>
    </row>
    <row r="89" spans="18:19" x14ac:dyDescent="0.25">
      <c r="R89" s="41">
        <f t="shared" si="4"/>
        <v>0</v>
      </c>
      <c r="S89" s="41">
        <f t="shared" si="5"/>
        <v>0</v>
      </c>
    </row>
    <row r="90" spans="18:19" x14ac:dyDescent="0.25">
      <c r="R90" s="41">
        <f t="shared" si="4"/>
        <v>0</v>
      </c>
      <c r="S90" s="41">
        <f t="shared" si="5"/>
        <v>0</v>
      </c>
    </row>
    <row r="91" spans="18:19" x14ac:dyDescent="0.25">
      <c r="R91" s="41">
        <f t="shared" si="4"/>
        <v>0</v>
      </c>
      <c r="S91" s="41">
        <f t="shared" si="5"/>
        <v>0</v>
      </c>
    </row>
    <row r="92" spans="18:19" x14ac:dyDescent="0.25">
      <c r="R92" s="41">
        <f t="shared" si="4"/>
        <v>0</v>
      </c>
      <c r="S92" s="41">
        <f t="shared" si="5"/>
        <v>0</v>
      </c>
    </row>
    <row r="93" spans="18:19" x14ac:dyDescent="0.25">
      <c r="R93" s="41">
        <f t="shared" si="4"/>
        <v>0</v>
      </c>
      <c r="S93" s="41">
        <f t="shared" si="5"/>
        <v>0</v>
      </c>
    </row>
    <row r="94" spans="18:19" x14ac:dyDescent="0.25">
      <c r="R94" s="41">
        <f t="shared" si="4"/>
        <v>0</v>
      </c>
      <c r="S94" s="41">
        <f t="shared" si="5"/>
        <v>0</v>
      </c>
    </row>
    <row r="95" spans="18:19" x14ac:dyDescent="0.25">
      <c r="R95" s="41">
        <f t="shared" si="4"/>
        <v>0</v>
      </c>
      <c r="S95" s="41">
        <f t="shared" si="5"/>
        <v>0</v>
      </c>
    </row>
    <row r="96" spans="18:19" x14ac:dyDescent="0.25">
      <c r="R96" s="41">
        <f t="shared" si="4"/>
        <v>0</v>
      </c>
      <c r="S96" s="41">
        <f t="shared" si="5"/>
        <v>0</v>
      </c>
    </row>
    <row r="97" spans="18:19" x14ac:dyDescent="0.25">
      <c r="R97" s="41">
        <f t="shared" si="4"/>
        <v>0</v>
      </c>
      <c r="S97" s="41">
        <f t="shared" si="5"/>
        <v>0</v>
      </c>
    </row>
    <row r="98" spans="18:19" x14ac:dyDescent="0.25">
      <c r="R98" s="41">
        <f t="shared" si="4"/>
        <v>0</v>
      </c>
      <c r="S98" s="41">
        <f t="shared" si="5"/>
        <v>0</v>
      </c>
    </row>
    <row r="99" spans="18:19" x14ac:dyDescent="0.25">
      <c r="R99" s="41">
        <f t="shared" si="4"/>
        <v>0</v>
      </c>
      <c r="S99" s="41">
        <f t="shared" si="5"/>
        <v>0</v>
      </c>
    </row>
    <row r="100" spans="18:19" x14ac:dyDescent="0.25">
      <c r="R100" s="41">
        <f t="shared" si="4"/>
        <v>0</v>
      </c>
      <c r="S100" s="41">
        <f t="shared" si="5"/>
        <v>0</v>
      </c>
    </row>
    <row r="101" spans="18:19" x14ac:dyDescent="0.25">
      <c r="R101" s="41">
        <f t="shared" si="4"/>
        <v>0</v>
      </c>
      <c r="S101" s="41">
        <f t="shared" si="5"/>
        <v>0</v>
      </c>
    </row>
    <row r="102" spans="18:19" x14ac:dyDescent="0.25">
      <c r="R102" s="41">
        <f t="shared" si="4"/>
        <v>0</v>
      </c>
      <c r="S102" s="41">
        <f t="shared" si="5"/>
        <v>0</v>
      </c>
    </row>
    <row r="103" spans="18:19" x14ac:dyDescent="0.25">
      <c r="R103" s="41">
        <f t="shared" si="4"/>
        <v>0</v>
      </c>
      <c r="S103" s="41">
        <f t="shared" si="5"/>
        <v>0</v>
      </c>
    </row>
    <row r="104" spans="18:19" x14ac:dyDescent="0.25">
      <c r="R104" s="41">
        <f t="shared" si="4"/>
        <v>0</v>
      </c>
      <c r="S104" s="41">
        <f t="shared" si="5"/>
        <v>0</v>
      </c>
    </row>
    <row r="105" spans="18:19" x14ac:dyDescent="0.25">
      <c r="R105" s="41">
        <f t="shared" si="4"/>
        <v>0</v>
      </c>
      <c r="S105" s="41">
        <f t="shared" si="5"/>
        <v>0</v>
      </c>
    </row>
    <row r="106" spans="18:19" x14ac:dyDescent="0.25">
      <c r="R106" s="41">
        <f t="shared" si="4"/>
        <v>0</v>
      </c>
      <c r="S106" s="41">
        <f t="shared" si="5"/>
        <v>0</v>
      </c>
    </row>
    <row r="107" spans="18:19" x14ac:dyDescent="0.25">
      <c r="R107" s="41">
        <f t="shared" si="4"/>
        <v>0</v>
      </c>
      <c r="S107" s="41">
        <f t="shared" si="5"/>
        <v>0</v>
      </c>
    </row>
    <row r="108" spans="18:19" x14ac:dyDescent="0.25">
      <c r="R108" s="41">
        <f t="shared" si="4"/>
        <v>0</v>
      </c>
      <c r="S108" s="41">
        <f t="shared" si="5"/>
        <v>0</v>
      </c>
    </row>
    <row r="109" spans="18:19" x14ac:dyDescent="0.25">
      <c r="R109" s="41">
        <f t="shared" si="4"/>
        <v>0</v>
      </c>
      <c r="S109" s="41">
        <f t="shared" si="5"/>
        <v>0</v>
      </c>
    </row>
    <row r="110" spans="18:19" x14ac:dyDescent="0.25">
      <c r="R110" s="41">
        <f t="shared" si="4"/>
        <v>0</v>
      </c>
      <c r="S110" s="41">
        <f t="shared" si="5"/>
        <v>0</v>
      </c>
    </row>
    <row r="111" spans="18:19" x14ac:dyDescent="0.25">
      <c r="R111" s="41">
        <f t="shared" si="4"/>
        <v>0</v>
      </c>
      <c r="S111" s="41">
        <f t="shared" si="5"/>
        <v>0</v>
      </c>
    </row>
    <row r="112" spans="18:19" x14ac:dyDescent="0.25">
      <c r="R112" s="41">
        <f t="shared" si="4"/>
        <v>0</v>
      </c>
      <c r="S112" s="41">
        <f t="shared" si="5"/>
        <v>0</v>
      </c>
    </row>
    <row r="113" spans="18:19" x14ac:dyDescent="0.25">
      <c r="R113" s="41">
        <f t="shared" si="4"/>
        <v>0</v>
      </c>
      <c r="S113" s="41">
        <f t="shared" si="5"/>
        <v>0</v>
      </c>
    </row>
    <row r="114" spans="18:19" x14ac:dyDescent="0.25">
      <c r="R114" s="41">
        <f t="shared" si="4"/>
        <v>0</v>
      </c>
      <c r="S114" s="41">
        <f t="shared" si="5"/>
        <v>0</v>
      </c>
    </row>
    <row r="115" spans="18:19" x14ac:dyDescent="0.25">
      <c r="R115" s="41">
        <f t="shared" si="4"/>
        <v>0</v>
      </c>
      <c r="S115" s="41">
        <f t="shared" si="5"/>
        <v>0</v>
      </c>
    </row>
    <row r="116" spans="18:19" x14ac:dyDescent="0.25">
      <c r="R116" s="41">
        <f t="shared" si="4"/>
        <v>0</v>
      </c>
      <c r="S116" s="41">
        <f t="shared" si="5"/>
        <v>0</v>
      </c>
    </row>
    <row r="117" spans="18:19" x14ac:dyDescent="0.25">
      <c r="R117" s="41">
        <f t="shared" si="4"/>
        <v>0</v>
      </c>
      <c r="S117" s="41">
        <f t="shared" si="5"/>
        <v>0</v>
      </c>
    </row>
    <row r="118" spans="18:19" x14ac:dyDescent="0.25">
      <c r="R118" s="41">
        <f t="shared" si="4"/>
        <v>0</v>
      </c>
      <c r="S118" s="41">
        <f t="shared" si="5"/>
        <v>0</v>
      </c>
    </row>
    <row r="119" spans="18:19" x14ac:dyDescent="0.25">
      <c r="R119" s="41">
        <f t="shared" si="4"/>
        <v>0</v>
      </c>
      <c r="S119" s="41">
        <f t="shared" si="5"/>
        <v>0</v>
      </c>
    </row>
    <row r="120" spans="18:19" x14ac:dyDescent="0.25">
      <c r="R120" s="41">
        <f t="shared" si="4"/>
        <v>0</v>
      </c>
      <c r="S120" s="41">
        <f t="shared" si="5"/>
        <v>0</v>
      </c>
    </row>
    <row r="121" spans="18:19" x14ac:dyDescent="0.25">
      <c r="R121" s="41">
        <f t="shared" si="4"/>
        <v>0</v>
      </c>
      <c r="S121" s="41">
        <f t="shared" si="5"/>
        <v>0</v>
      </c>
    </row>
    <row r="122" spans="18:19" x14ac:dyDescent="0.25">
      <c r="R122" s="41">
        <f t="shared" si="4"/>
        <v>0</v>
      </c>
      <c r="S122" s="41">
        <f t="shared" si="5"/>
        <v>0</v>
      </c>
    </row>
    <row r="123" spans="18:19" x14ac:dyDescent="0.25">
      <c r="R123" s="41">
        <f t="shared" si="4"/>
        <v>0</v>
      </c>
      <c r="S123" s="41">
        <f t="shared" si="5"/>
        <v>0</v>
      </c>
    </row>
    <row r="124" spans="18:19" x14ac:dyDescent="0.25">
      <c r="R124" s="41">
        <f t="shared" si="4"/>
        <v>0</v>
      </c>
      <c r="S124" s="41">
        <f t="shared" si="5"/>
        <v>0</v>
      </c>
    </row>
    <row r="125" spans="18:19" x14ac:dyDescent="0.25">
      <c r="R125" s="41">
        <f t="shared" si="4"/>
        <v>0</v>
      </c>
      <c r="S125" s="41">
        <f t="shared" si="5"/>
        <v>0</v>
      </c>
    </row>
    <row r="126" spans="18:19" x14ac:dyDescent="0.25">
      <c r="R126" s="41">
        <f t="shared" si="4"/>
        <v>0</v>
      </c>
      <c r="S126" s="41">
        <f t="shared" si="5"/>
        <v>0</v>
      </c>
    </row>
    <row r="127" spans="18:19" x14ac:dyDescent="0.25">
      <c r="R127" s="41">
        <f t="shared" si="4"/>
        <v>0</v>
      </c>
      <c r="S127" s="41">
        <f t="shared" si="5"/>
        <v>0</v>
      </c>
    </row>
    <row r="128" spans="18:19" x14ac:dyDescent="0.25">
      <c r="R128" s="41">
        <f t="shared" si="4"/>
        <v>0</v>
      </c>
      <c r="S128" s="41">
        <f t="shared" si="5"/>
        <v>0</v>
      </c>
    </row>
    <row r="129" spans="18:19" x14ac:dyDescent="0.25">
      <c r="R129" s="41">
        <f t="shared" si="4"/>
        <v>0</v>
      </c>
      <c r="S129" s="41">
        <f t="shared" si="5"/>
        <v>0</v>
      </c>
    </row>
    <row r="130" spans="18:19" x14ac:dyDescent="0.25">
      <c r="R130" s="41">
        <f t="shared" si="4"/>
        <v>0</v>
      </c>
      <c r="S130" s="41">
        <f t="shared" si="5"/>
        <v>0</v>
      </c>
    </row>
    <row r="131" spans="18:19" x14ac:dyDescent="0.25">
      <c r="R131" s="41">
        <f t="shared" si="4"/>
        <v>0</v>
      </c>
      <c r="S131" s="41">
        <f t="shared" si="5"/>
        <v>0</v>
      </c>
    </row>
  </sheetData>
  <mergeCells count="1">
    <mergeCell ref="R1:S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34</vt:i4>
      </vt:variant>
    </vt:vector>
  </HeadingPairs>
  <TitlesOfParts>
    <vt:vector size="36" baseType="lpstr">
      <vt:lpstr>Sheet1</vt:lpstr>
      <vt:lpstr>data</vt:lpstr>
      <vt:lpstr>EBL</vt:lpstr>
      <vt:lpstr>EBL_text</vt:lpstr>
      <vt:lpstr>EBR</vt:lpstr>
      <vt:lpstr>EBR_text</vt:lpstr>
      <vt:lpstr>EBT</vt:lpstr>
      <vt:lpstr>EBT_text</vt:lpstr>
      <vt:lpstr>EBTOTAL_IN</vt:lpstr>
      <vt:lpstr>EBTOTAL_OUT</vt:lpstr>
      <vt:lpstr>EBU</vt:lpstr>
      <vt:lpstr>EBU_text</vt:lpstr>
      <vt:lpstr>NBL</vt:lpstr>
      <vt:lpstr>NBL_text</vt:lpstr>
      <vt:lpstr>NBR</vt:lpstr>
      <vt:lpstr>NBR_text</vt:lpstr>
      <vt:lpstr>NBT</vt:lpstr>
      <vt:lpstr>NBT_text</vt:lpstr>
      <vt:lpstr>NBTOTAL_IN</vt:lpstr>
      <vt:lpstr>NBTOTAL_OUT</vt:lpstr>
      <vt:lpstr>NBU</vt:lpstr>
      <vt:lpstr>NBU_text</vt:lpstr>
      <vt:lpstr>SBL</vt:lpstr>
      <vt:lpstr>SBL_text</vt:lpstr>
      <vt:lpstr>SBR</vt:lpstr>
      <vt:lpstr>SBR_text</vt:lpstr>
      <vt:lpstr>SBT</vt:lpstr>
      <vt:lpstr>SBT_text</vt:lpstr>
      <vt:lpstr>SBTOTAL_IN</vt:lpstr>
      <vt:lpstr>SBTOTAL_OUT</vt:lpstr>
      <vt:lpstr>SBU</vt:lpstr>
      <vt:lpstr>SBU_text</vt:lpstr>
      <vt:lpstr>Start_Time</vt:lpstr>
      <vt:lpstr>WBL</vt:lpstr>
      <vt:lpstr>WBR</vt:lpstr>
      <vt:lpstr>WBT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Kuminski, Joshua (DOT)</dc:creator>
  <cp:lastModifiedBy>Joshua Kuminski</cp:lastModifiedBy>
  <cp:lastPrinted>2024-03-22T11:29:51Z</cp:lastPrinted>
  <dcterms:created xsi:type="dcterms:W3CDTF">2024-03-21T11:22:21Z</dcterms:created>
  <dcterms:modified xsi:type="dcterms:W3CDTF">2024-04-08T23:43:08Z</dcterms:modified>
</cp:coreProperties>
</file>